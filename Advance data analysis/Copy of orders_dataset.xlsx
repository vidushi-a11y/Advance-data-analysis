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 activeTab="4"/>
  </bookViews>
  <sheets>
    <sheet name="Sheet3" sheetId="4" r:id="rId1"/>
    <sheet name="Sheet2" sheetId="6" r:id="rId2"/>
    <sheet name="Sheet4" sheetId="7" r:id="rId3"/>
    <sheet name="Sheet6" sheetId="9" r:id="rId4"/>
    <sheet name="orders_dataset" sheetId="1" r:id="rId5"/>
    <sheet name="customer_dataset" sheetId="2" r:id="rId6"/>
  </sheets>
  <calcPr calcId="124519"/>
  <pivotCaches>
    <pivotCache cacheId="6" r:id="rId7"/>
    <pivotCache cacheId="23" r:id="rId8"/>
    <pivotCache cacheId="26" r:id="rId9"/>
  </pivotCaches>
</workbook>
</file>

<file path=xl/calcChain.xml><?xml version="1.0" encoding="utf-8"?>
<calcChain xmlns="http://schemas.openxmlformats.org/spreadsheetml/2006/main"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2"/>
  <c r="L101"/>
  <c r="L100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2"/>
  <c r="J96"/>
  <c r="J97"/>
  <c r="J98"/>
  <c r="J99"/>
  <c r="J100"/>
  <c r="J101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2"/>
  <c r="I91"/>
  <c r="I92"/>
  <c r="I93"/>
  <c r="I94"/>
  <c r="I95"/>
  <c r="I96"/>
  <c r="I97"/>
  <c r="I98"/>
  <c r="I99"/>
  <c r="I100"/>
  <c r="I101"/>
  <c r="I75"/>
  <c r="I76"/>
  <c r="I77"/>
  <c r="I78"/>
  <c r="I79"/>
  <c r="I80"/>
  <c r="I81"/>
  <c r="I82"/>
  <c r="I83"/>
  <c r="I84"/>
  <c r="I85"/>
  <c r="I86"/>
  <c r="I87"/>
  <c r="I88"/>
  <c r="I89"/>
  <c r="I90"/>
  <c r="I61"/>
  <c r="I62"/>
  <c r="I63"/>
  <c r="I64"/>
  <c r="I65"/>
  <c r="I66"/>
  <c r="I67"/>
  <c r="I68"/>
  <c r="I69"/>
  <c r="I70"/>
  <c r="I71"/>
  <c r="I72"/>
  <c r="I73"/>
  <c r="I7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19"/>
  <c r="I20"/>
  <c r="I21"/>
  <c r="I22"/>
  <c r="I23"/>
  <c r="I24"/>
  <c r="I25"/>
  <c r="I26"/>
  <c r="I27"/>
  <c r="I28"/>
  <c r="I29"/>
  <c r="I30"/>
  <c r="I31"/>
  <c r="I32"/>
  <c r="I33"/>
  <c r="I34"/>
  <c r="I3"/>
  <c r="I4"/>
  <c r="I5"/>
  <c r="I6"/>
  <c r="I7"/>
  <c r="I8"/>
  <c r="I9"/>
  <c r="I10"/>
  <c r="I11"/>
  <c r="I12"/>
  <c r="I13"/>
  <c r="I14"/>
  <c r="I15"/>
  <c r="I16"/>
  <c r="I17"/>
  <c r="I18"/>
  <c r="I2"/>
</calcChain>
</file>

<file path=xl/sharedStrings.xml><?xml version="1.0" encoding="utf-8"?>
<sst xmlns="http://schemas.openxmlformats.org/spreadsheetml/2006/main" count="482" uniqueCount="110">
  <si>
    <t>Order_ID</t>
  </si>
  <si>
    <t>Order_Date</t>
  </si>
  <si>
    <t>Customer_ID</t>
  </si>
  <si>
    <t>Product_Category</t>
  </si>
  <si>
    <t>Sales</t>
  </si>
  <si>
    <t>Quantity</t>
  </si>
  <si>
    <t>Profit</t>
  </si>
  <si>
    <t>Discount</t>
  </si>
  <si>
    <t>Furniture</t>
  </si>
  <si>
    <t>Office Supplies</t>
  </si>
  <si>
    <t>Technology</t>
  </si>
  <si>
    <t>Customer_Name</t>
  </si>
  <si>
    <t>Region</t>
  </si>
  <si>
    <t>Segment</t>
  </si>
  <si>
    <t>Sneha Verma</t>
  </si>
  <si>
    <t>North</t>
  </si>
  <si>
    <t>Home Office</t>
  </si>
  <si>
    <t>Priya Singh</t>
  </si>
  <si>
    <t>South</t>
  </si>
  <si>
    <t>Consumer</t>
  </si>
  <si>
    <t>Karan Verma</t>
  </si>
  <si>
    <t>Riya Sharma</t>
  </si>
  <si>
    <t>Ananya Singh</t>
  </si>
  <si>
    <t>Ananya Agarwal</t>
  </si>
  <si>
    <t>Corporate</t>
  </si>
  <si>
    <t>Amit Mishra</t>
  </si>
  <si>
    <t>Karan Agarwal</t>
  </si>
  <si>
    <t>East</t>
  </si>
  <si>
    <t>Aditya Singh</t>
  </si>
  <si>
    <t>Vivaan Agarwal</t>
  </si>
  <si>
    <t>Vidushi Mishra</t>
  </si>
  <si>
    <t>Neha Verma</t>
  </si>
  <si>
    <t>West</t>
  </si>
  <si>
    <t>Rahul Mishra</t>
  </si>
  <si>
    <t>Ananya Verma</t>
  </si>
  <si>
    <t>Ananya Mishra</t>
  </si>
  <si>
    <t>Sneha Yadav</t>
  </si>
  <si>
    <t>Vidushi Singh</t>
  </si>
  <si>
    <t>Karan Singh</t>
  </si>
  <si>
    <t>Riya Mishra</t>
  </si>
  <si>
    <t>Vidushi Sharma</t>
  </si>
  <si>
    <t>Vidushi Agarwal</t>
  </si>
  <si>
    <t>Ananya Yadav</t>
  </si>
  <si>
    <t>Neha Agarwal</t>
  </si>
  <si>
    <t>Priya Gupta</t>
  </si>
  <si>
    <t>Riya Yadav</t>
  </si>
  <si>
    <t>Rahul Jain</t>
  </si>
  <si>
    <t>Vivaan Gupta</t>
  </si>
  <si>
    <t>Riya Verma</t>
  </si>
  <si>
    <t>Amit Jain</t>
  </si>
  <si>
    <t>Aarav Verma</t>
  </si>
  <si>
    <t>Vidushi Verma</t>
  </si>
  <si>
    <t>Aditya Jain</t>
  </si>
  <si>
    <t>Karan Mishra</t>
  </si>
  <si>
    <t>Vivaan Mishra</t>
  </si>
  <si>
    <t>Vidushi Gupta</t>
  </si>
  <si>
    <t>Vidushi Jain</t>
  </si>
  <si>
    <t>Sneha Jain</t>
  </si>
  <si>
    <t>Rahul Agarwal</t>
  </si>
  <si>
    <t>Vivaan Yadav</t>
  </si>
  <si>
    <t>Rahul Singh</t>
  </si>
  <si>
    <t>Vivaan Sharma</t>
  </si>
  <si>
    <t>Aarav Yadav</t>
  </si>
  <si>
    <t>Rahul Gupta</t>
  </si>
  <si>
    <t>Riya Jain</t>
  </si>
  <si>
    <t>Karan Yadav</t>
  </si>
  <si>
    <t>Riya Gupta</t>
  </si>
  <si>
    <t>Ananya Gupta</t>
  </si>
  <si>
    <t>Neha Singh</t>
  </si>
  <si>
    <t>Aditya Agarwal</t>
  </si>
  <si>
    <t>Priya Jain</t>
  </si>
  <si>
    <t>Karan Jain</t>
  </si>
  <si>
    <t>Karan Sharma</t>
  </si>
  <si>
    <t>Aarav Jain</t>
  </si>
  <si>
    <t>Rahul Verma</t>
  </si>
  <si>
    <t>Amit Verma</t>
  </si>
  <si>
    <t>Vivaan Singh</t>
  </si>
  <si>
    <t>Sneha Sharma</t>
  </si>
  <si>
    <t>Amit Singh</t>
  </si>
  <si>
    <t>Sneha Mishra</t>
  </si>
  <si>
    <t>Aarav Sharma</t>
  </si>
  <si>
    <t>Amit Gupta</t>
  </si>
  <si>
    <t>Aarav Mishra</t>
  </si>
  <si>
    <t>Karan Gupta</t>
  </si>
  <si>
    <t>Profit Margin</t>
  </si>
  <si>
    <t>Row Labels</t>
  </si>
  <si>
    <t>Grand Total</t>
  </si>
  <si>
    <t>Sum of Sales</t>
  </si>
  <si>
    <t>Column Labels</t>
  </si>
  <si>
    <t>Sales by Region and Segment</t>
  </si>
  <si>
    <t>(blank)</t>
  </si>
  <si>
    <t>Count of Profit</t>
  </si>
  <si>
    <t>Profit bt Category and Region</t>
  </si>
  <si>
    <t>Count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</si>
  <si>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</si>
  <si>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</si>
  <si>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</si>
  <si>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</si>
  <si>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</si>
  <si>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</si>
  <si>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</si>
  <si>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</si>
  <si>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</si>
  <si>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</si>
  <si>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</si>
  <si>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</si>
  <si>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</si>
  <si>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>Customer_name</t>
  </si>
  <si>
    <t>Top 10 Customers</t>
  </si>
  <si>
    <t>Profit Margin_new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</si>
</sst>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192.598722106479" createdVersion="3" refreshedVersion="3" minRefreshableVersion="3" recordCount="100">
  <cacheSource type="worksheet">
    <worksheetSource ref="A1:K101" sheet="orders_dataset"/>
  </cacheSource>
  <cacheFields count="11">
    <cacheField name="Order_ID" numFmtId="0">
      <sharedItems containsSemiMixedTypes="0" containsString="0" containsNumber="1" containsInteger="1" minValue="1001" maxValue="1100"/>
    </cacheField>
    <cacheField name="Order_Date" numFmtId="14">
      <sharedItems containsSemiMixedTypes="0" containsNonDate="0" containsDate="1" containsString="0" minDate="2025-01-04T00:00:00" maxDate="2025-12-24T00:00:00"/>
    </cacheField>
    <cacheField name="Customer_ID" numFmtId="0">
      <sharedItems containsSemiMixedTypes="0" containsString="0" containsNumber="1" containsInteger="1" minValue="5001" maxValue="5050"/>
    </cacheField>
    <cacheField name="Product_Category" numFmtId="0">
      <sharedItems/>
    </cacheField>
    <cacheField name="Sales" numFmtId="0">
      <sharedItems containsSemiMixedTypes="0" containsString="0" containsNumber="1" minValue="127.17" maxValue="4986.8999999999996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minValue="13.32" maxValue="1420.49"/>
    </cacheField>
    <cacheField name="Discount" numFmtId="0">
      <sharedItems containsSemiMixedTypes="0" containsString="0" containsNumber="1" minValue="0" maxValue="0.2"/>
    </cacheField>
    <cacheField name="Region" numFmtId="0">
      <sharedItems count="4">
        <s v="North"/>
        <s v="South"/>
        <s v="West"/>
        <s v="East"/>
      </sharedItems>
    </cacheField>
    <cacheField name="Profit Margin" numFmtId="0">
      <sharedItems containsSemiMixedTypes="0" containsString="0" containsNumber="1" minValue="5.0885445403508124E-2" maxValue="0.29997504678727382"/>
    </cacheField>
    <cacheField name="Segment" numFmtId="0">
      <sharedItems count="3">
        <s v="Home Office"/>
        <s v="Consumer"/>
        <s v="Corporat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192.623362384256" createdVersion="3" refreshedVersion="3" minRefreshableVersion="3" recordCount="101">
  <cacheSource type="worksheet">
    <worksheetSource ref="A1:K1048576" sheet="orders_dataset"/>
  </cacheSource>
  <cacheFields count="11">
    <cacheField name="Order_ID" numFmtId="0">
      <sharedItems containsString="0" containsBlank="1" containsNumber="1" containsInteger="1" minValue="1001" maxValue="1100"/>
    </cacheField>
    <cacheField name="Order_Date" numFmtId="0">
      <sharedItems containsNonDate="0" containsDate="1" containsString="0" containsBlank="1" minDate="2025-01-04T00:00:00" maxDate="2025-12-24T00:00:00" count="88">
        <d v="2025-03-13T00:00:00"/>
        <d v="2025-01-17T00:00:00"/>
        <d v="2025-04-12T00:00:00"/>
        <d v="2025-05-23T00:00:00"/>
        <d v="2025-06-22T00:00:00"/>
        <d v="2025-01-23T00:00:00"/>
        <d v="2025-11-18T00:00:00"/>
        <d v="2025-05-29T00:00:00"/>
        <d v="2025-07-06T00:00:00"/>
        <d v="2025-03-29T00:00:00"/>
        <d v="2025-11-24T00:00:00"/>
        <d v="2025-06-11T00:00:00"/>
        <d v="2025-05-07T00:00:00"/>
        <d v="2025-07-24T00:00:00"/>
        <d v="2025-01-25T00:00:00"/>
        <d v="2025-07-15T00:00:00"/>
        <d v="2025-02-28T00:00:00"/>
        <d v="2025-03-22T00:00:00"/>
        <d v="2025-09-17T00:00:00"/>
        <d v="2025-07-11T00:00:00"/>
        <d v="2025-09-08T00:00:00"/>
        <d v="2025-10-18T00:00:00"/>
        <d v="2025-03-07T00:00:00"/>
        <d v="2025-11-07T00:00:00"/>
        <d v="2025-12-10T00:00:00"/>
        <d v="2025-04-26T00:00:00"/>
        <d v="2025-01-04T00:00:00"/>
        <d v="2025-06-19T00:00:00"/>
        <d v="2025-10-20T00:00:00"/>
        <d v="2025-02-19T00:00:00"/>
        <d v="2025-01-28T00:00:00"/>
        <d v="2025-06-23T00:00:00"/>
        <d v="2025-04-04T00:00:00"/>
        <d v="2025-10-09T00:00:00"/>
        <d v="2025-05-02T00:00:00"/>
        <d v="2025-03-26T00:00:00"/>
        <d v="2025-12-23T00:00:00"/>
        <d v="2025-04-22T00:00:00"/>
        <d v="2025-10-27T00:00:00"/>
        <d v="2025-09-18T00:00:00"/>
        <d v="2025-10-19T00:00:00"/>
        <d v="2025-10-26T00:00:00"/>
        <d v="2025-06-10T00:00:00"/>
        <d v="2025-02-07T00:00:00"/>
        <d v="2025-04-20T00:00:00"/>
        <d v="2025-07-09T00:00:00"/>
        <d v="2025-12-01T00:00:00"/>
        <d v="2025-02-23T00:00:00"/>
        <d v="2025-05-25T00:00:00"/>
        <d v="2025-05-09T00:00:00"/>
        <d v="2025-03-08T00:00:00"/>
        <d v="2025-10-15T00:00:00"/>
        <d v="2025-01-21T00:00:00"/>
        <d v="2025-07-28T00:00:00"/>
        <d v="2025-04-01T00:00:00"/>
        <d v="2025-05-08T00:00:00"/>
        <d v="2025-08-29T00:00:00"/>
        <d v="2025-04-27T00:00:00"/>
        <d v="2025-02-05T00:00:00"/>
        <d v="2025-10-02T00:00:00"/>
        <d v="2025-05-16T00:00:00"/>
        <d v="2025-09-19T00:00:00"/>
        <d v="2025-08-12T00:00:00"/>
        <d v="2025-12-08T00:00:00"/>
        <d v="2025-08-04T00:00:00"/>
        <d v="2025-07-27T00:00:00"/>
        <d v="2025-03-28T00:00:00"/>
        <d v="2025-05-01T00:00:00"/>
        <d v="2025-05-06T00:00:00"/>
        <d v="2025-11-19T00:00:00"/>
        <d v="2025-03-17T00:00:00"/>
        <d v="2025-08-26T00:00:00"/>
        <d v="2025-08-15T00:00:00"/>
        <d v="2025-03-23T00:00:00"/>
        <d v="2025-09-24T00:00:00"/>
        <d v="2025-04-29T00:00:00"/>
        <d v="2025-06-30T00:00:00"/>
        <d v="2025-10-07T00:00:00"/>
        <d v="2025-07-19T00:00:00"/>
        <d v="2025-01-14T00:00:00"/>
        <d v="2025-07-14T00:00:00"/>
        <d v="2025-06-29T00:00:00"/>
        <d v="2025-04-13T00:00:00"/>
        <d v="2025-10-16T00:00:00"/>
        <d v="2025-06-09T00:00:00"/>
        <d v="2025-06-04T00:00:00"/>
        <d v="2025-08-08T00:00:00"/>
        <m/>
      </sharedItems>
      <fieldGroup base="1">
        <rangePr groupBy="months" startDate="2025-01-04T00:00:00" endDate="2025-12-2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5"/>
        </groupItems>
      </fieldGroup>
    </cacheField>
    <cacheField name="Customer_ID" numFmtId="0">
      <sharedItems containsString="0" containsBlank="1" containsNumber="1" containsInteger="1" minValue="5001" maxValue="5050"/>
    </cacheField>
    <cacheField name="Product_Category" numFmtId="0">
      <sharedItems containsBlank="1" count="4">
        <s v="Furniture"/>
        <s v="Office Supplies"/>
        <s v="Technology"/>
        <m/>
      </sharedItems>
    </cacheField>
    <cacheField name="Sales" numFmtId="0">
      <sharedItems containsString="0" containsBlank="1" containsNumber="1" minValue="127.17" maxValue="4986.8999999999996"/>
    </cacheField>
    <cacheField name="Quantity" numFmtId="0">
      <sharedItems containsString="0" containsBlank="1" containsNumber="1" containsInteger="1" minValue="1" maxValue="10"/>
    </cacheField>
    <cacheField name="Profit" numFmtId="0">
      <sharedItems containsString="0" containsBlank="1" containsNumber="1" minValue="13.32" maxValue="1420.49"/>
    </cacheField>
    <cacheField name="Discount" numFmtId="0">
      <sharedItems containsString="0" containsBlank="1" containsNumber="1" minValue="0" maxValue="0.2"/>
    </cacheField>
    <cacheField name="Region" numFmtId="0">
      <sharedItems containsBlank="1" count="5">
        <s v="North"/>
        <s v="South"/>
        <s v="West"/>
        <s v="East"/>
        <m/>
      </sharedItems>
    </cacheField>
    <cacheField name="Profit Margin" numFmtId="0">
      <sharedItems containsString="0" containsBlank="1" containsNumber="1" minValue="5.0885445403508124E-2" maxValue="0.29997504678727382"/>
    </cacheField>
    <cacheField name="Segment" numFmtId="0">
      <sharedItems containsBlank="1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cer" refreshedDate="46192.628166319446" createdVersion="3" refreshedVersion="3" minRefreshableVersion="3" recordCount="101">
  <cacheSource type="worksheet">
    <worksheetSource ref="A1:L1048576" sheet="orders_dataset"/>
  </cacheSource>
  <cacheFields count="12">
    <cacheField name="Order_ID" numFmtId="0">
      <sharedItems containsString="0" containsBlank="1" containsNumber="1" containsInteger="1" minValue="1001" maxValue="1100"/>
    </cacheField>
    <cacheField name="Order_Date" numFmtId="0">
      <sharedItems containsNonDate="0" containsDate="1" containsString="0" containsBlank="1" minDate="2025-01-04T00:00:00" maxDate="2025-12-24T00:00:00"/>
    </cacheField>
    <cacheField name="Customer_ID" numFmtId="0">
      <sharedItems containsString="0" containsBlank="1" containsNumber="1" containsInteger="1" minValue="5001" maxValue="5050"/>
    </cacheField>
    <cacheField name="Product_Category" numFmtId="0">
      <sharedItems containsBlank="1"/>
    </cacheField>
    <cacheField name="Sales" numFmtId="0">
      <sharedItems containsString="0" containsBlank="1" containsNumber="1" minValue="127.17" maxValue="4986.8999999999996"/>
    </cacheField>
    <cacheField name="Quantity" numFmtId="0">
      <sharedItems containsString="0" containsBlank="1" containsNumber="1" containsInteger="1" minValue="1" maxValue="10"/>
    </cacheField>
    <cacheField name="Profit" numFmtId="0">
      <sharedItems containsString="0" containsBlank="1" containsNumber="1" minValue="13.32" maxValue="1420.49"/>
    </cacheField>
    <cacheField name="Discount" numFmtId="0">
      <sharedItems containsString="0" containsBlank="1" containsNumber="1" minValue="0" maxValue="0.2"/>
    </cacheField>
    <cacheField name="Region" numFmtId="0">
      <sharedItems containsBlank="1"/>
    </cacheField>
    <cacheField name="Profit Margin" numFmtId="0">
      <sharedItems containsString="0" containsBlank="1" containsNumber="1" minValue="5.0885445403508124E-2" maxValue="0.29997504678727382"/>
    </cacheField>
    <cacheField name="Segment" numFmtId="0">
      <sharedItems containsBlank="1"/>
    </cacheField>
    <cacheField name="Customer_name" numFmtId="0">
      <sharedItems containsBlank="1" count="40">
        <s v="Vivaan Yadav"/>
        <s v="Priya Singh"/>
        <s v="Sneha Yadav"/>
        <s v="Sneha Verma"/>
        <s v="Amit Mishra"/>
        <s v="Neha Verma"/>
        <s v="Vidushi Mishra"/>
        <s v="Ananya Agarwal"/>
        <s v="Aditya Jain"/>
        <s v="Karan Singh"/>
        <s v="Riya Mishra"/>
        <s v="Ananya Verma"/>
        <s v="Ananya Yadav"/>
        <s v="Karan Agarwal"/>
        <s v="Vidushi Jain"/>
        <s v="Rahul Agarwal"/>
        <s v="Vivaan Gupta"/>
        <s v="Rahul Singh"/>
        <s v="Sneha Jain"/>
        <s v="Riya Yadav"/>
        <s v="Ananya Singh"/>
        <s v="Vivaan Mishra"/>
        <s v="Vidushi Singh"/>
        <s v="Neha Agarwal"/>
        <s v="Riya Sharma"/>
        <s v="Riya Verma"/>
        <s v="Vivaan Agarwal"/>
        <s v="Aarav Verma"/>
        <s v="Vidushi Verma"/>
        <s v="Aditya Singh"/>
        <s v="Vidushi Gupta"/>
        <s v="Vidushi Agarwal"/>
        <s v="Rahul Mishra"/>
        <s v="Ananya Mishra"/>
        <s v="Vivaan Sharma"/>
        <s v="Vidushi Sharma"/>
        <s v="Karan Verma"/>
        <s v="Karan Mishra"/>
        <s v="Amit Jain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001"/>
    <d v="2025-03-13T00:00:00"/>
    <n v="5048"/>
    <s v="Furniture"/>
    <n v="3233.19"/>
    <n v="1"/>
    <n v="359.6"/>
    <n v="0.1"/>
    <x v="0"/>
    <n v="0.11122142527967735"/>
    <x v="0"/>
  </r>
  <r>
    <n v="1002"/>
    <d v="2025-01-17T00:00:00"/>
    <n v="5002"/>
    <s v="Furniture"/>
    <n v="3415.83"/>
    <n v="9"/>
    <n v="675.05"/>
    <n v="0"/>
    <x v="1"/>
    <n v="0.19762400353647575"/>
    <x v="1"/>
  </r>
  <r>
    <n v="1003"/>
    <d v="2025-04-12T00:00:00"/>
    <n v="5046"/>
    <s v="Office Supplies"/>
    <n v="1171.33"/>
    <n v="9"/>
    <n v="66.34"/>
    <n v="0.2"/>
    <x v="2"/>
    <n v="5.6636473069075328E-2"/>
    <x v="0"/>
  </r>
  <r>
    <n v="1004"/>
    <d v="2025-05-23T00:00:00"/>
    <n v="5001"/>
    <s v="Furniture"/>
    <n v="3536.49"/>
    <n v="7"/>
    <n v="573.98"/>
    <n v="0.05"/>
    <x v="0"/>
    <n v="0.16230216966540273"/>
    <x v="0"/>
  </r>
  <r>
    <n v="1005"/>
    <d v="2025-06-22T00:00:00"/>
    <n v="5007"/>
    <s v="Furniture"/>
    <n v="3520.88"/>
    <n v="6"/>
    <n v="312.89999999999998"/>
    <n v="0.1"/>
    <x v="0"/>
    <n v="8.8869827997546058E-2"/>
    <x v="1"/>
  </r>
  <r>
    <n v="1006"/>
    <d v="2025-01-23T00:00:00"/>
    <n v="5047"/>
    <s v="Technology"/>
    <n v="1961.64"/>
    <n v="6"/>
    <n v="394.16"/>
    <n v="0.1"/>
    <x v="1"/>
    <n v="0.20093391244061093"/>
    <x v="1"/>
  </r>
  <r>
    <n v="1007"/>
    <d v="2025-11-18T00:00:00"/>
    <n v="5040"/>
    <s v="Technology"/>
    <n v="2727.52"/>
    <n v="7"/>
    <n v="512.79999999999995"/>
    <n v="0"/>
    <x v="1"/>
    <n v="0.18800962046107819"/>
    <x v="1"/>
  </r>
  <r>
    <n v="1008"/>
    <d v="2025-05-29T00:00:00"/>
    <n v="5006"/>
    <s v="Furniture"/>
    <n v="2929.03"/>
    <n v="2"/>
    <n v="630.66999999999996"/>
    <n v="0"/>
    <x v="1"/>
    <n v="0.21531701621355873"/>
    <x v="2"/>
  </r>
  <r>
    <n v="1009"/>
    <d v="2025-07-06T00:00:00"/>
    <n v="5011"/>
    <s v="Technology"/>
    <n v="4345.7700000000004"/>
    <n v="7"/>
    <n v="709.89"/>
    <n v="0.1"/>
    <x v="0"/>
    <n v="0.16335194913674675"/>
    <x v="0"/>
  </r>
  <r>
    <n v="1010"/>
    <d v="2025-03-29T00:00:00"/>
    <n v="5035"/>
    <s v="Office Supplies"/>
    <n v="1840.83"/>
    <n v="5"/>
    <n v="372.37"/>
    <n v="0"/>
    <x v="0"/>
    <n v="0.20228375243775906"/>
    <x v="0"/>
  </r>
  <r>
    <n v="1011"/>
    <d v="2025-11-24T00:00:00"/>
    <n v="5045"/>
    <s v="Office Supplies"/>
    <n v="1299.57"/>
    <n v="8"/>
    <n v="152.68"/>
    <n v="0.15"/>
    <x v="3"/>
    <n v="0.11748501427395217"/>
    <x v="2"/>
  </r>
  <r>
    <n v="1012"/>
    <d v="2025-01-17T00:00:00"/>
    <n v="5021"/>
    <s v="Technology"/>
    <n v="1176.1099999999999"/>
    <n v="6"/>
    <n v="126.15"/>
    <n v="0"/>
    <x v="1"/>
    <n v="0.10726037530503101"/>
    <x v="0"/>
  </r>
  <r>
    <n v="1013"/>
    <d v="2025-06-11T00:00:00"/>
    <n v="5014"/>
    <s v="Office Supplies"/>
    <n v="1411.93"/>
    <n v="4"/>
    <n v="379.94"/>
    <n v="0.2"/>
    <x v="0"/>
    <n v="0.26909266040101137"/>
    <x v="0"/>
  </r>
  <r>
    <n v="1014"/>
    <d v="2025-05-07T00:00:00"/>
    <n v="5048"/>
    <s v="Office Supplies"/>
    <n v="2546.23"/>
    <n v="8"/>
    <n v="295.92"/>
    <n v="0.05"/>
    <x v="0"/>
    <n v="0.11621888046248768"/>
    <x v="0"/>
  </r>
  <r>
    <n v="1015"/>
    <d v="2025-07-24T00:00:00"/>
    <n v="5024"/>
    <s v="Furniture"/>
    <n v="2740.99"/>
    <n v="10"/>
    <n v="752.28"/>
    <n v="0.15"/>
    <x v="1"/>
    <n v="0.27445557991820474"/>
    <x v="0"/>
  </r>
  <r>
    <n v="1016"/>
    <d v="2025-01-25T00:00:00"/>
    <n v="5008"/>
    <s v="Furniture"/>
    <n v="4986.8999999999996"/>
    <n v="3"/>
    <n v="864.62"/>
    <n v="0.2"/>
    <x v="3"/>
    <n v="0.1733782510176663"/>
    <x v="2"/>
  </r>
  <r>
    <n v="1017"/>
    <d v="2025-07-15T00:00:00"/>
    <n v="5039"/>
    <s v="Technology"/>
    <n v="3174.49"/>
    <n v="7"/>
    <n v="209.14"/>
    <n v="0.2"/>
    <x v="0"/>
    <n v="6.5881448673645218E-2"/>
    <x v="1"/>
  </r>
  <r>
    <n v="1018"/>
    <d v="2025-02-28T00:00:00"/>
    <n v="5044"/>
    <s v="Office Supplies"/>
    <n v="2692.66"/>
    <n v="9"/>
    <n v="592.58000000000004"/>
    <n v="0"/>
    <x v="1"/>
    <n v="0.22007234481887802"/>
    <x v="0"/>
  </r>
  <r>
    <n v="1019"/>
    <d v="2025-03-22T00:00:00"/>
    <n v="5030"/>
    <s v="Furniture"/>
    <n v="3779.3"/>
    <n v="6"/>
    <n v="466.27"/>
    <n v="0"/>
    <x v="1"/>
    <n v="0.12337469901833671"/>
    <x v="0"/>
  </r>
  <r>
    <n v="1020"/>
    <d v="2025-09-17T00:00:00"/>
    <n v="5007"/>
    <s v="Office Supplies"/>
    <n v="4773.7"/>
    <n v="5"/>
    <n v="1148.03"/>
    <n v="0.2"/>
    <x v="0"/>
    <n v="0.24049060477197981"/>
    <x v="1"/>
  </r>
  <r>
    <n v="1021"/>
    <d v="2025-07-11T00:00:00"/>
    <n v="5049"/>
    <s v="Furniture"/>
    <n v="1562.38"/>
    <n v="9"/>
    <n v="155.81"/>
    <n v="0.2"/>
    <x v="1"/>
    <n v="9.9726058961328218E-2"/>
    <x v="1"/>
  </r>
  <r>
    <n v="1022"/>
    <d v="2025-09-08T00:00:00"/>
    <n v="5002"/>
    <s v="Furniture"/>
    <n v="2742.96"/>
    <n v="9"/>
    <n v="547.87"/>
    <n v="0"/>
    <x v="1"/>
    <n v="0.19973678070405693"/>
    <x v="1"/>
  </r>
  <r>
    <n v="1023"/>
    <d v="2025-10-18T00:00:00"/>
    <n v="5006"/>
    <s v="Furniture"/>
    <n v="4652.58"/>
    <n v="5"/>
    <n v="300"/>
    <n v="0.05"/>
    <x v="1"/>
    <n v="6.4480352836490729E-2"/>
    <x v="2"/>
  </r>
  <r>
    <n v="1024"/>
    <d v="2025-03-07T00:00:00"/>
    <n v="5043"/>
    <s v="Technology"/>
    <n v="3686.35"/>
    <n v="2"/>
    <n v="890.1"/>
    <n v="0.2"/>
    <x v="1"/>
    <n v="0.24145835311351338"/>
    <x v="2"/>
  </r>
  <r>
    <n v="1025"/>
    <d v="2025-11-07T00:00:00"/>
    <n v="5028"/>
    <s v="Furniture"/>
    <n v="4739.5600000000004"/>
    <n v="3"/>
    <n v="862.21"/>
    <n v="0.1"/>
    <x v="1"/>
    <n v="0.18191773075981735"/>
    <x v="1"/>
  </r>
  <r>
    <n v="1026"/>
    <d v="2025-12-10T00:00:00"/>
    <n v="5042"/>
    <s v="Technology"/>
    <n v="4651.68"/>
    <n v="4"/>
    <n v="696.58"/>
    <n v="0.1"/>
    <x v="1"/>
    <n v="0.14974804801706051"/>
    <x v="1"/>
  </r>
  <r>
    <n v="1027"/>
    <d v="2025-04-26T00:00:00"/>
    <n v="5005"/>
    <s v="Technology"/>
    <n v="2246.69"/>
    <n v="9"/>
    <n v="180.3"/>
    <n v="0.15"/>
    <x v="0"/>
    <n v="8.025139204785707E-2"/>
    <x v="0"/>
  </r>
  <r>
    <n v="1028"/>
    <d v="2025-01-04T00:00:00"/>
    <n v="5005"/>
    <s v="Office Supplies"/>
    <n v="203.07"/>
    <n v="9"/>
    <n v="40.03"/>
    <n v="0.05"/>
    <x v="0"/>
    <n v="0.19712414438371006"/>
    <x v="0"/>
  </r>
  <r>
    <n v="1029"/>
    <d v="2025-06-19T00:00:00"/>
    <n v="5005"/>
    <s v="Office Supplies"/>
    <n v="3192.4"/>
    <n v="4"/>
    <n v="882.24"/>
    <n v="0"/>
    <x v="0"/>
    <n v="0.27635634632251599"/>
    <x v="0"/>
  </r>
  <r>
    <n v="1030"/>
    <d v="2025-10-20T00:00:00"/>
    <n v="5037"/>
    <s v="Technology"/>
    <n v="1266.22"/>
    <n v="8"/>
    <n v="234.01"/>
    <n v="0.05"/>
    <x v="1"/>
    <n v="0.18480990665129282"/>
    <x v="1"/>
  </r>
  <r>
    <n v="1031"/>
    <d v="2025-02-19T00:00:00"/>
    <n v="5043"/>
    <s v="Technology"/>
    <n v="1290.69"/>
    <n v="8"/>
    <n v="125.97"/>
    <n v="0.15"/>
    <x v="1"/>
    <n v="9.7598958696511168E-2"/>
    <x v="2"/>
  </r>
  <r>
    <n v="1032"/>
    <d v="2025-01-28T00:00:00"/>
    <n v="5044"/>
    <s v="Office Supplies"/>
    <n v="1836.06"/>
    <n v="7"/>
    <n v="488.32"/>
    <n v="0.15"/>
    <x v="1"/>
    <n v="0.2659608073810224"/>
    <x v="0"/>
  </r>
  <r>
    <n v="1033"/>
    <d v="2025-06-23T00:00:00"/>
    <n v="5007"/>
    <s v="Furniture"/>
    <n v="4922.41"/>
    <n v="2"/>
    <n v="741.59"/>
    <n v="0"/>
    <x v="0"/>
    <n v="0.15065587791346111"/>
    <x v="1"/>
  </r>
  <r>
    <n v="1034"/>
    <d v="2025-04-04T00:00:00"/>
    <n v="5018"/>
    <s v="Technology"/>
    <n v="1038.79"/>
    <n v="9"/>
    <n v="88.34"/>
    <n v="0.15"/>
    <x v="3"/>
    <n v="8.5041249915767392E-2"/>
    <x v="0"/>
  </r>
  <r>
    <n v="1035"/>
    <d v="2025-10-09T00:00:00"/>
    <n v="5007"/>
    <s v="Furniture"/>
    <n v="1324.05"/>
    <n v="2"/>
    <n v="333.67"/>
    <n v="0.15"/>
    <x v="0"/>
    <n v="0.25200709942977989"/>
    <x v="1"/>
  </r>
  <r>
    <n v="1036"/>
    <d v="2025-05-02T00:00:00"/>
    <n v="5011"/>
    <s v="Technology"/>
    <n v="3295.51"/>
    <n v="9"/>
    <n v="963.11"/>
    <n v="0"/>
    <x v="0"/>
    <n v="0.29224915111773292"/>
    <x v="0"/>
  </r>
  <r>
    <n v="1037"/>
    <d v="2025-03-26T00:00:00"/>
    <n v="5025"/>
    <s v="Furniture"/>
    <n v="2479.64"/>
    <n v="4"/>
    <n v="683.42"/>
    <n v="0.15"/>
    <x v="2"/>
    <n v="0.27561258892419865"/>
    <x v="1"/>
  </r>
  <r>
    <n v="1038"/>
    <d v="2025-12-23T00:00:00"/>
    <n v="5047"/>
    <s v="Office Supplies"/>
    <n v="4928.01"/>
    <n v="5"/>
    <n v="597.83000000000004"/>
    <n v="0.15"/>
    <x v="1"/>
    <n v="0.12131265967398605"/>
    <x v="1"/>
  </r>
  <r>
    <n v="1039"/>
    <d v="2025-04-22T00:00:00"/>
    <n v="5004"/>
    <s v="Office Supplies"/>
    <n v="3343.17"/>
    <n v="8"/>
    <n v="325.87"/>
    <n v="0.05"/>
    <x v="0"/>
    <n v="9.7473356126071956E-2"/>
    <x v="1"/>
  </r>
  <r>
    <n v="1040"/>
    <d v="2025-10-27T00:00:00"/>
    <n v="5031"/>
    <s v="Office Supplies"/>
    <n v="3705.11"/>
    <n v="1"/>
    <n v="238.21"/>
    <n v="0.1"/>
    <x v="2"/>
    <n v="6.429228821816356E-2"/>
    <x v="2"/>
  </r>
  <r>
    <n v="1041"/>
    <d v="2025-09-18T00:00:00"/>
    <n v="5006"/>
    <s v="Furniture"/>
    <n v="4605"/>
    <n v="9"/>
    <n v="295.73"/>
    <n v="0.05"/>
    <x v="1"/>
    <n v="6.4219326818675357E-2"/>
    <x v="2"/>
  </r>
  <r>
    <n v="1042"/>
    <d v="2025-10-19T00:00:00"/>
    <n v="5016"/>
    <s v="Office Supplies"/>
    <n v="435.75"/>
    <n v="2"/>
    <n v="65.77"/>
    <n v="0.05"/>
    <x v="3"/>
    <n v="0.15093516924842226"/>
    <x v="2"/>
  </r>
  <r>
    <n v="1043"/>
    <d v="2025-10-26T00:00:00"/>
    <n v="5037"/>
    <s v="Office Supplies"/>
    <n v="3013.14"/>
    <n v="10"/>
    <n v="466.45"/>
    <n v="0"/>
    <x v="1"/>
    <n v="0.15480528617986553"/>
    <x v="1"/>
  </r>
  <r>
    <n v="1044"/>
    <d v="2025-06-10T00:00:00"/>
    <n v="5016"/>
    <s v="Technology"/>
    <n v="1650.21"/>
    <n v="5"/>
    <n v="358.81"/>
    <n v="0.05"/>
    <x v="3"/>
    <n v="0.21743293277825246"/>
    <x v="2"/>
  </r>
  <r>
    <n v="1045"/>
    <d v="2025-02-07T00:00:00"/>
    <n v="5001"/>
    <s v="Technology"/>
    <n v="2039.35"/>
    <n v="5"/>
    <n v="263.17"/>
    <n v="0.15"/>
    <x v="0"/>
    <n v="0.12904601956505751"/>
    <x v="0"/>
  </r>
  <r>
    <n v="1046"/>
    <d v="2025-04-20T00:00:00"/>
    <n v="5033"/>
    <s v="Technology"/>
    <n v="3143.68"/>
    <n v="10"/>
    <n v="214.76"/>
    <n v="0"/>
    <x v="3"/>
    <n v="6.8314841205211724E-2"/>
    <x v="0"/>
  </r>
  <r>
    <n v="1047"/>
    <d v="2025-07-09T00:00:00"/>
    <n v="5019"/>
    <s v="Furniture"/>
    <n v="749.04"/>
    <n v="6"/>
    <n v="202.1"/>
    <n v="0"/>
    <x v="1"/>
    <n v="0.26981202606002352"/>
    <x v="0"/>
  </r>
  <r>
    <n v="1048"/>
    <d v="2025-12-01T00:00:00"/>
    <n v="5034"/>
    <s v="Furniture"/>
    <n v="2247.1"/>
    <n v="9"/>
    <n v="455.98"/>
    <n v="0.1"/>
    <x v="3"/>
    <n v="0.20291931823238843"/>
    <x v="2"/>
  </r>
  <r>
    <n v="1049"/>
    <d v="2025-02-23T00:00:00"/>
    <n v="5009"/>
    <s v="Technology"/>
    <n v="3372.53"/>
    <n v="9"/>
    <n v="954.22"/>
    <n v="0.1"/>
    <x v="3"/>
    <n v="0.28293892122531156"/>
    <x v="1"/>
  </r>
  <r>
    <n v="1050"/>
    <d v="2025-05-25T00:00:00"/>
    <n v="5039"/>
    <s v="Furniture"/>
    <n v="665.6"/>
    <n v="2"/>
    <n v="59.15"/>
    <n v="0.2"/>
    <x v="0"/>
    <n v="8.88671875E-2"/>
    <x v="1"/>
  </r>
  <r>
    <n v="1051"/>
    <d v="2025-05-09T00:00:00"/>
    <n v="5004"/>
    <s v="Furniture"/>
    <n v="3616.3"/>
    <n v="4"/>
    <n v="637.74"/>
    <n v="0.1"/>
    <x v="0"/>
    <n v="0.1763515195088903"/>
    <x v="1"/>
  </r>
  <r>
    <n v="1052"/>
    <d v="2025-03-08T00:00:00"/>
    <n v="5041"/>
    <s v="Technology"/>
    <n v="3207.99"/>
    <n v="5"/>
    <n v="163.24"/>
    <n v="0"/>
    <x v="0"/>
    <n v="5.0885445403508124E-2"/>
    <x v="0"/>
  </r>
  <r>
    <n v="1053"/>
    <d v="2025-10-15T00:00:00"/>
    <n v="5001"/>
    <s v="Furniture"/>
    <n v="891.75"/>
    <n v="8"/>
    <n v="201.91"/>
    <n v="0.2"/>
    <x v="0"/>
    <n v="0.22641996075133164"/>
    <x v="0"/>
  </r>
  <r>
    <n v="1054"/>
    <d v="2025-07-09T00:00:00"/>
    <n v="5038"/>
    <s v="Office Supplies"/>
    <n v="468.69"/>
    <n v="3"/>
    <n v="27.66"/>
    <n v="0.2"/>
    <x v="0"/>
    <n v="5.9015553990910838E-2"/>
    <x v="0"/>
  </r>
  <r>
    <n v="1055"/>
    <d v="2025-01-21T00:00:00"/>
    <n v="5023"/>
    <s v="Furniture"/>
    <n v="825.66"/>
    <n v="3"/>
    <n v="104.91"/>
    <n v="0"/>
    <x v="3"/>
    <n v="0.12706198677421698"/>
    <x v="1"/>
  </r>
  <r>
    <n v="1056"/>
    <d v="2025-07-28T00:00:00"/>
    <n v="5040"/>
    <s v="Office Supplies"/>
    <n v="3442.13"/>
    <n v="2"/>
    <n v="843.42"/>
    <n v="0.1"/>
    <x v="1"/>
    <n v="0.24502851432107442"/>
    <x v="1"/>
  </r>
  <r>
    <n v="1057"/>
    <d v="2025-04-01T00:00:00"/>
    <n v="5027"/>
    <s v="Furniture"/>
    <n v="857.31"/>
    <n v="4"/>
    <n v="252.09"/>
    <n v="0.05"/>
    <x v="2"/>
    <n v="0.29404766070616234"/>
    <x v="0"/>
  </r>
  <r>
    <n v="1058"/>
    <d v="2025-05-08T00:00:00"/>
    <n v="5018"/>
    <s v="Furniture"/>
    <n v="978.87"/>
    <n v="6"/>
    <n v="245.26"/>
    <n v="0.15"/>
    <x v="3"/>
    <n v="0.2505542104671713"/>
    <x v="0"/>
  </r>
  <r>
    <n v="1059"/>
    <d v="2025-08-29T00:00:00"/>
    <n v="5015"/>
    <s v="Furniture"/>
    <n v="3958.14"/>
    <n v="2"/>
    <n v="1060.95"/>
    <n v="0.15"/>
    <x v="0"/>
    <n v="0.26804256544740712"/>
    <x v="1"/>
  </r>
  <r>
    <n v="1060"/>
    <d v="2025-04-27T00:00:00"/>
    <n v="5015"/>
    <s v="Furniture"/>
    <n v="4101.2700000000004"/>
    <n v="8"/>
    <n v="517.98"/>
    <n v="0.1"/>
    <x v="0"/>
    <n v="0.12629746395628672"/>
    <x v="1"/>
  </r>
  <r>
    <n v="1061"/>
    <d v="2025-02-05T00:00:00"/>
    <n v="5050"/>
    <s v="Technology"/>
    <n v="3334.16"/>
    <n v="7"/>
    <n v="398.93"/>
    <n v="0.1"/>
    <x v="1"/>
    <n v="0.11964932696691222"/>
    <x v="1"/>
  </r>
  <r>
    <n v="1062"/>
    <d v="2025-10-02T00:00:00"/>
    <n v="5022"/>
    <s v="Furniture"/>
    <n v="1820.62"/>
    <n v="9"/>
    <n v="400.32"/>
    <n v="0.15"/>
    <x v="1"/>
    <n v="0.21988113939207524"/>
    <x v="1"/>
  </r>
  <r>
    <n v="1063"/>
    <d v="2025-05-16T00:00:00"/>
    <n v="5003"/>
    <s v="Furniture"/>
    <n v="665.17"/>
    <n v="5"/>
    <n v="129.81"/>
    <n v="0.05"/>
    <x v="0"/>
    <n v="0.19515311875159735"/>
    <x v="0"/>
  </r>
  <r>
    <n v="1064"/>
    <d v="2025-09-19T00:00:00"/>
    <n v="5008"/>
    <s v="Technology"/>
    <n v="3023.2"/>
    <n v="6"/>
    <n v="480.99"/>
    <n v="0.1"/>
    <x v="3"/>
    <n v="0.15909962953162213"/>
    <x v="2"/>
  </r>
  <r>
    <n v="1065"/>
    <d v="2025-08-12T00:00:00"/>
    <n v="5001"/>
    <s v="Office Supplies"/>
    <n v="4507.57"/>
    <n v="4"/>
    <n v="275.39999999999998"/>
    <n v="0.1"/>
    <x v="0"/>
    <n v="6.1097220897290555E-2"/>
    <x v="0"/>
  </r>
  <r>
    <n v="1066"/>
    <d v="2025-02-05T00:00:00"/>
    <n v="5043"/>
    <s v="Technology"/>
    <n v="4635.32"/>
    <n v="9"/>
    <n v="653.84"/>
    <n v="0.05"/>
    <x v="1"/>
    <n v="0.14105606516917926"/>
    <x v="2"/>
  </r>
  <r>
    <n v="1067"/>
    <d v="2025-12-08T00:00:00"/>
    <n v="5027"/>
    <s v="Technology"/>
    <n v="3153.46"/>
    <n v="2"/>
    <n v="557.47"/>
    <n v="0.1"/>
    <x v="2"/>
    <n v="0.17678042531061119"/>
    <x v="0"/>
  </r>
  <r>
    <n v="1068"/>
    <d v="2025-08-04T00:00:00"/>
    <n v="5043"/>
    <s v="Technology"/>
    <n v="2071.7600000000002"/>
    <n v="5"/>
    <n v="169.52"/>
    <n v="0.2"/>
    <x v="1"/>
    <n v="8.1824149515387884E-2"/>
    <x v="2"/>
  </r>
  <r>
    <n v="1069"/>
    <d v="2025-07-27T00:00:00"/>
    <n v="5036"/>
    <s v="Furniture"/>
    <n v="3418.86"/>
    <n v="3"/>
    <n v="657.37"/>
    <n v="0.2"/>
    <x v="1"/>
    <n v="0.19227754280666653"/>
    <x v="0"/>
  </r>
  <r>
    <n v="1070"/>
    <d v="2025-11-07T00:00:00"/>
    <n v="5042"/>
    <s v="Technology"/>
    <n v="1588.99"/>
    <n v="4"/>
    <n v="391.59"/>
    <n v="0.15"/>
    <x v="1"/>
    <n v="0.24643956223764779"/>
    <x v="1"/>
  </r>
  <r>
    <n v="1071"/>
    <d v="2025-03-28T00:00:00"/>
    <n v="5043"/>
    <s v="Furniture"/>
    <n v="2378.44"/>
    <n v="8"/>
    <n v="422.87"/>
    <n v="0.05"/>
    <x v="1"/>
    <n v="0.17779300718117758"/>
    <x v="2"/>
  </r>
  <r>
    <n v="1072"/>
    <d v="2025-05-01T00:00:00"/>
    <n v="5044"/>
    <s v="Technology"/>
    <n v="1490.55"/>
    <n v="10"/>
    <n v="109.33"/>
    <n v="0.1"/>
    <x v="1"/>
    <n v="7.3348763879105036E-2"/>
    <x v="0"/>
  </r>
  <r>
    <n v="1073"/>
    <d v="2025-05-06T00:00:00"/>
    <n v="5031"/>
    <s v="Office Supplies"/>
    <n v="1200.74"/>
    <n v="4"/>
    <n v="67.37"/>
    <n v="0.05"/>
    <x v="2"/>
    <n v="5.6107067308493103E-2"/>
    <x v="2"/>
  </r>
  <r>
    <n v="1074"/>
    <d v="2025-11-19T00:00:00"/>
    <n v="5037"/>
    <s v="Furniture"/>
    <n v="4263.71"/>
    <n v="2"/>
    <n v="654.95000000000005"/>
    <n v="0.15"/>
    <x v="1"/>
    <n v="0.15361035342459972"/>
    <x v="1"/>
  </r>
  <r>
    <n v="1075"/>
    <d v="2025-03-17T00:00:00"/>
    <n v="5042"/>
    <s v="Office Supplies"/>
    <n v="3619.89"/>
    <n v="7"/>
    <n v="542.66999999999996"/>
    <n v="0.15"/>
    <x v="1"/>
    <n v="0.14991339515841642"/>
    <x v="1"/>
  </r>
  <r>
    <n v="1076"/>
    <d v="2025-12-23T00:00:00"/>
    <n v="5034"/>
    <s v="Technology"/>
    <n v="127.17"/>
    <n v="2"/>
    <n v="13.32"/>
    <n v="0.15"/>
    <x v="3"/>
    <n v="0.10474168435951875"/>
    <x v="2"/>
  </r>
  <r>
    <n v="1077"/>
    <d v="2025-08-26T00:00:00"/>
    <n v="5043"/>
    <s v="Office Supplies"/>
    <n v="346.07"/>
    <n v="4"/>
    <n v="56.8"/>
    <n v="0"/>
    <x v="1"/>
    <n v="0.1641286444938885"/>
    <x v="2"/>
  </r>
  <r>
    <n v="1078"/>
    <d v="2025-08-15T00:00:00"/>
    <n v="5040"/>
    <s v="Office Supplies"/>
    <n v="4940.67"/>
    <n v="10"/>
    <n v="1420.49"/>
    <n v="0.1"/>
    <x v="1"/>
    <n v="0.28750958878046906"/>
    <x v="1"/>
  </r>
  <r>
    <n v="1079"/>
    <d v="2025-03-23T00:00:00"/>
    <n v="5048"/>
    <s v="Technology"/>
    <n v="4470.8999999999996"/>
    <n v="7"/>
    <n v="721.95"/>
    <n v="0.2"/>
    <x v="0"/>
    <n v="0.16147755485472726"/>
    <x v="0"/>
  </r>
  <r>
    <n v="1080"/>
    <d v="2025-09-24T00:00:00"/>
    <n v="5032"/>
    <s v="Office Supplies"/>
    <n v="2305.34"/>
    <n v="4"/>
    <n v="556.63"/>
    <n v="0.1"/>
    <x v="3"/>
    <n v="0.24145245386797606"/>
    <x v="0"/>
  </r>
  <r>
    <n v="1081"/>
    <d v="2025-05-01T00:00:00"/>
    <n v="5018"/>
    <s v="Technology"/>
    <n v="1272.3"/>
    <n v="8"/>
    <n v="290.58"/>
    <n v="0"/>
    <x v="3"/>
    <n v="0.22838953077104457"/>
    <x v="0"/>
  </r>
  <r>
    <n v="1082"/>
    <d v="2025-04-29T00:00:00"/>
    <n v="5025"/>
    <s v="Office Supplies"/>
    <n v="1666.58"/>
    <n v="9"/>
    <n v="140.97999999999999"/>
    <n v="0"/>
    <x v="2"/>
    <n v="8.4592398804737845E-2"/>
    <x v="1"/>
  </r>
  <r>
    <n v="1083"/>
    <d v="2025-06-19T00:00:00"/>
    <n v="5035"/>
    <s v="Technology"/>
    <n v="848.75"/>
    <n v="4"/>
    <n v="130.47"/>
    <n v="0"/>
    <x v="0"/>
    <n v="0.15372017673048602"/>
    <x v="0"/>
  </r>
  <r>
    <n v="1084"/>
    <d v="2025-10-27T00:00:00"/>
    <n v="5045"/>
    <s v="Furniture"/>
    <n v="2137.29"/>
    <n v="4"/>
    <n v="314.97000000000003"/>
    <n v="0.15"/>
    <x v="3"/>
    <n v="0.14736886430947604"/>
    <x v="2"/>
  </r>
  <r>
    <n v="1085"/>
    <d v="2025-06-30T00:00:00"/>
    <n v="5020"/>
    <s v="Technology"/>
    <n v="4297.99"/>
    <n v="10"/>
    <n v="727.41"/>
    <n v="0.15"/>
    <x v="1"/>
    <n v="0.16924422811593326"/>
    <x v="2"/>
  </r>
  <r>
    <n v="1086"/>
    <d v="2025-10-07T00:00:00"/>
    <n v="5039"/>
    <s v="Furniture"/>
    <n v="4281.8900000000003"/>
    <n v="7"/>
    <n v="1014.29"/>
    <n v="0.2"/>
    <x v="0"/>
    <n v="0.23687904173157179"/>
    <x v="1"/>
  </r>
  <r>
    <n v="1087"/>
    <d v="2025-07-19T00:00:00"/>
    <n v="5022"/>
    <s v="Office Supplies"/>
    <n v="2492.3200000000002"/>
    <n v="5"/>
    <n v="427.21"/>
    <n v="0.15"/>
    <x v="1"/>
    <n v="0.17141057328111958"/>
    <x v="1"/>
  </r>
  <r>
    <n v="1088"/>
    <d v="2025-03-07T00:00:00"/>
    <n v="5040"/>
    <s v="Office Supplies"/>
    <n v="3427.8"/>
    <n v="7"/>
    <n v="891.66"/>
    <n v="0.05"/>
    <x v="1"/>
    <n v="0.26012602835638016"/>
    <x v="1"/>
  </r>
  <r>
    <n v="1089"/>
    <d v="2025-01-14T00:00:00"/>
    <n v="5006"/>
    <s v="Office Supplies"/>
    <n v="232.14"/>
    <n v="7"/>
    <n v="44.36"/>
    <n v="0.2"/>
    <x v="1"/>
    <n v="0.19109158266563281"/>
    <x v="2"/>
  </r>
  <r>
    <n v="1090"/>
    <d v="2025-07-14T00:00:00"/>
    <n v="5021"/>
    <s v="Furniture"/>
    <n v="2200.1999999999998"/>
    <n v="8"/>
    <n v="137.66999999999999"/>
    <n v="0.05"/>
    <x v="1"/>
    <n v="6.2571584401418051E-2"/>
    <x v="0"/>
  </r>
  <r>
    <n v="1091"/>
    <d v="2025-08-04T00:00:00"/>
    <n v="5017"/>
    <s v="Furniture"/>
    <n v="2328.0300000000002"/>
    <n v="6"/>
    <n v="278.35000000000002"/>
    <n v="0.15"/>
    <x v="1"/>
    <n v="0.11956461042168701"/>
    <x v="2"/>
  </r>
  <r>
    <n v="1092"/>
    <d v="2025-06-29T00:00:00"/>
    <n v="5015"/>
    <s v="Office Supplies"/>
    <n v="2404.5"/>
    <n v="9"/>
    <n v="721.29"/>
    <n v="0"/>
    <x v="0"/>
    <n v="0.29997504678727382"/>
    <x v="1"/>
  </r>
  <r>
    <n v="1093"/>
    <d v="2025-04-13T00:00:00"/>
    <n v="5002"/>
    <s v="Office Supplies"/>
    <n v="436.23"/>
    <n v="1"/>
    <n v="125.37"/>
    <n v="0"/>
    <x v="1"/>
    <n v="0.28739426449350114"/>
    <x v="1"/>
  </r>
  <r>
    <n v="1094"/>
    <d v="2025-10-16T00:00:00"/>
    <n v="5014"/>
    <s v="Technology"/>
    <n v="846.67"/>
    <n v="3"/>
    <n v="184.04"/>
    <n v="0.15"/>
    <x v="0"/>
    <n v="0.21736922295581512"/>
    <x v="0"/>
  </r>
  <r>
    <n v="1095"/>
    <d v="2025-02-28T00:00:00"/>
    <n v="5050"/>
    <s v="Furniture"/>
    <n v="3527.38"/>
    <n v="6"/>
    <n v="710.67"/>
    <n v="0.05"/>
    <x v="1"/>
    <n v="0.20147248099155746"/>
    <x v="1"/>
  </r>
  <r>
    <n v="1096"/>
    <d v="2025-06-09T00:00:00"/>
    <n v="5037"/>
    <s v="Office Supplies"/>
    <n v="4827.13"/>
    <n v="2"/>
    <n v="272.33999999999997"/>
    <n v="0.2"/>
    <x v="1"/>
    <n v="5.6418617273618063E-2"/>
    <x v="1"/>
  </r>
  <r>
    <n v="1097"/>
    <d v="2025-04-12T00:00:00"/>
    <n v="5005"/>
    <s v="Office Supplies"/>
    <n v="4549.33"/>
    <n v="7"/>
    <n v="1298.23"/>
    <n v="0.15"/>
    <x v="0"/>
    <n v="0.2853672958435638"/>
    <x v="0"/>
  </r>
  <r>
    <n v="1098"/>
    <d v="2025-06-04T00:00:00"/>
    <n v="5044"/>
    <s v="Office Supplies"/>
    <n v="3484.01"/>
    <n v="4"/>
    <n v="781.46"/>
    <n v="0"/>
    <x v="1"/>
    <n v="0.22429901177091913"/>
    <x v="0"/>
  </r>
  <r>
    <n v="1099"/>
    <d v="2025-08-08T00:00:00"/>
    <n v="5043"/>
    <s v="Technology"/>
    <n v="4047.09"/>
    <n v="10"/>
    <n v="553.65"/>
    <n v="0"/>
    <x v="1"/>
    <n v="0.13680199847297686"/>
    <x v="2"/>
  </r>
  <r>
    <n v="1100"/>
    <d v="2025-09-08T00:00:00"/>
    <n v="5007"/>
    <s v="Technology"/>
    <n v="437.89"/>
    <n v="6"/>
    <n v="114.9"/>
    <n v="0"/>
    <x v="0"/>
    <n v="0.2623946653269085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">
  <r>
    <n v="1001"/>
    <x v="0"/>
    <n v="5048"/>
    <x v="0"/>
    <n v="3233.19"/>
    <n v="1"/>
    <n v="359.6"/>
    <n v="0.1"/>
    <x v="0"/>
    <n v="0.11122142527967735"/>
    <s v="Home Office"/>
  </r>
  <r>
    <n v="1002"/>
    <x v="1"/>
    <n v="5002"/>
    <x v="0"/>
    <n v="3415.83"/>
    <n v="9"/>
    <n v="675.05"/>
    <n v="0"/>
    <x v="1"/>
    <n v="0.19762400353647575"/>
    <s v="Consumer"/>
  </r>
  <r>
    <n v="1003"/>
    <x v="2"/>
    <n v="5046"/>
    <x v="1"/>
    <n v="1171.33"/>
    <n v="9"/>
    <n v="66.34"/>
    <n v="0.2"/>
    <x v="2"/>
    <n v="5.6636473069075328E-2"/>
    <s v="Home Office"/>
  </r>
  <r>
    <n v="1004"/>
    <x v="3"/>
    <n v="5001"/>
    <x v="0"/>
    <n v="3536.49"/>
    <n v="7"/>
    <n v="573.98"/>
    <n v="0.05"/>
    <x v="0"/>
    <n v="0.16230216966540273"/>
    <s v="Home Office"/>
  </r>
  <r>
    <n v="1005"/>
    <x v="4"/>
    <n v="5007"/>
    <x v="0"/>
    <n v="3520.88"/>
    <n v="6"/>
    <n v="312.89999999999998"/>
    <n v="0.1"/>
    <x v="0"/>
    <n v="8.8869827997546058E-2"/>
    <s v="Consumer"/>
  </r>
  <r>
    <n v="1006"/>
    <x v="5"/>
    <n v="5047"/>
    <x v="2"/>
    <n v="1961.64"/>
    <n v="6"/>
    <n v="394.16"/>
    <n v="0.1"/>
    <x v="1"/>
    <n v="0.20093391244061093"/>
    <s v="Consumer"/>
  </r>
  <r>
    <n v="1007"/>
    <x v="6"/>
    <n v="5040"/>
    <x v="2"/>
    <n v="2727.52"/>
    <n v="7"/>
    <n v="512.79999999999995"/>
    <n v="0"/>
    <x v="1"/>
    <n v="0.18800962046107819"/>
    <s v="Consumer"/>
  </r>
  <r>
    <n v="1008"/>
    <x v="7"/>
    <n v="5006"/>
    <x v="0"/>
    <n v="2929.03"/>
    <n v="2"/>
    <n v="630.66999999999996"/>
    <n v="0"/>
    <x v="1"/>
    <n v="0.21531701621355873"/>
    <s v="Corporate"/>
  </r>
  <r>
    <n v="1009"/>
    <x v="8"/>
    <n v="5011"/>
    <x v="2"/>
    <n v="4345.7700000000004"/>
    <n v="7"/>
    <n v="709.89"/>
    <n v="0.1"/>
    <x v="0"/>
    <n v="0.16335194913674675"/>
    <s v="Home Office"/>
  </r>
  <r>
    <n v="1010"/>
    <x v="9"/>
    <n v="5035"/>
    <x v="1"/>
    <n v="1840.83"/>
    <n v="5"/>
    <n v="372.37"/>
    <n v="0"/>
    <x v="0"/>
    <n v="0.20228375243775906"/>
    <s v="Home Office"/>
  </r>
  <r>
    <n v="1011"/>
    <x v="10"/>
    <n v="5045"/>
    <x v="1"/>
    <n v="1299.57"/>
    <n v="8"/>
    <n v="152.68"/>
    <n v="0.15"/>
    <x v="3"/>
    <n v="0.11748501427395217"/>
    <s v="Corporate"/>
  </r>
  <r>
    <n v="1012"/>
    <x v="1"/>
    <n v="5021"/>
    <x v="2"/>
    <n v="1176.1099999999999"/>
    <n v="6"/>
    <n v="126.15"/>
    <n v="0"/>
    <x v="1"/>
    <n v="0.10726037530503101"/>
    <s v="Home Office"/>
  </r>
  <r>
    <n v="1013"/>
    <x v="11"/>
    <n v="5014"/>
    <x v="1"/>
    <n v="1411.93"/>
    <n v="4"/>
    <n v="379.94"/>
    <n v="0.2"/>
    <x v="0"/>
    <n v="0.26909266040101137"/>
    <s v="Home Office"/>
  </r>
  <r>
    <n v="1014"/>
    <x v="12"/>
    <n v="5048"/>
    <x v="1"/>
    <n v="2546.23"/>
    <n v="8"/>
    <n v="295.92"/>
    <n v="0.05"/>
    <x v="0"/>
    <n v="0.11621888046248768"/>
    <s v="Home Office"/>
  </r>
  <r>
    <n v="1015"/>
    <x v="13"/>
    <n v="5024"/>
    <x v="0"/>
    <n v="2740.99"/>
    <n v="10"/>
    <n v="752.28"/>
    <n v="0.15"/>
    <x v="1"/>
    <n v="0.27445557991820474"/>
    <s v="Home Office"/>
  </r>
  <r>
    <n v="1016"/>
    <x v="14"/>
    <n v="5008"/>
    <x v="0"/>
    <n v="4986.8999999999996"/>
    <n v="3"/>
    <n v="864.62"/>
    <n v="0.2"/>
    <x v="3"/>
    <n v="0.1733782510176663"/>
    <s v="Corporate"/>
  </r>
  <r>
    <n v="1017"/>
    <x v="15"/>
    <n v="5039"/>
    <x v="2"/>
    <n v="3174.49"/>
    <n v="7"/>
    <n v="209.14"/>
    <n v="0.2"/>
    <x v="0"/>
    <n v="6.5881448673645218E-2"/>
    <s v="Consumer"/>
  </r>
  <r>
    <n v="1018"/>
    <x v="16"/>
    <n v="5044"/>
    <x v="1"/>
    <n v="2692.66"/>
    <n v="9"/>
    <n v="592.58000000000004"/>
    <n v="0"/>
    <x v="1"/>
    <n v="0.22007234481887802"/>
    <s v="Home Office"/>
  </r>
  <r>
    <n v="1019"/>
    <x v="17"/>
    <n v="5030"/>
    <x v="0"/>
    <n v="3779.3"/>
    <n v="6"/>
    <n v="466.27"/>
    <n v="0"/>
    <x v="1"/>
    <n v="0.12337469901833671"/>
    <s v="Home Office"/>
  </r>
  <r>
    <n v="1020"/>
    <x v="18"/>
    <n v="5007"/>
    <x v="1"/>
    <n v="4773.7"/>
    <n v="5"/>
    <n v="1148.03"/>
    <n v="0.2"/>
    <x v="0"/>
    <n v="0.24049060477197981"/>
    <s v="Consumer"/>
  </r>
  <r>
    <n v="1021"/>
    <x v="19"/>
    <n v="5049"/>
    <x v="0"/>
    <n v="1562.38"/>
    <n v="9"/>
    <n v="155.81"/>
    <n v="0.2"/>
    <x v="1"/>
    <n v="9.9726058961328218E-2"/>
    <s v="Consumer"/>
  </r>
  <r>
    <n v="1022"/>
    <x v="20"/>
    <n v="5002"/>
    <x v="0"/>
    <n v="2742.96"/>
    <n v="9"/>
    <n v="547.87"/>
    <n v="0"/>
    <x v="1"/>
    <n v="0.19973678070405693"/>
    <s v="Consumer"/>
  </r>
  <r>
    <n v="1023"/>
    <x v="21"/>
    <n v="5006"/>
    <x v="0"/>
    <n v="4652.58"/>
    <n v="5"/>
    <n v="300"/>
    <n v="0.05"/>
    <x v="1"/>
    <n v="6.4480352836490729E-2"/>
    <s v="Corporate"/>
  </r>
  <r>
    <n v="1024"/>
    <x v="22"/>
    <n v="5043"/>
    <x v="2"/>
    <n v="3686.35"/>
    <n v="2"/>
    <n v="890.1"/>
    <n v="0.2"/>
    <x v="1"/>
    <n v="0.24145835311351338"/>
    <s v="Corporate"/>
  </r>
  <r>
    <n v="1025"/>
    <x v="23"/>
    <n v="5028"/>
    <x v="0"/>
    <n v="4739.5600000000004"/>
    <n v="3"/>
    <n v="862.21"/>
    <n v="0.1"/>
    <x v="1"/>
    <n v="0.18191773075981735"/>
    <s v="Consumer"/>
  </r>
  <r>
    <n v="1026"/>
    <x v="24"/>
    <n v="5042"/>
    <x v="2"/>
    <n v="4651.68"/>
    <n v="4"/>
    <n v="696.58"/>
    <n v="0.1"/>
    <x v="1"/>
    <n v="0.14974804801706051"/>
    <s v="Consumer"/>
  </r>
  <r>
    <n v="1027"/>
    <x v="25"/>
    <n v="5005"/>
    <x v="2"/>
    <n v="2246.69"/>
    <n v="9"/>
    <n v="180.3"/>
    <n v="0.15"/>
    <x v="0"/>
    <n v="8.025139204785707E-2"/>
    <s v="Home Office"/>
  </r>
  <r>
    <n v="1028"/>
    <x v="26"/>
    <n v="5005"/>
    <x v="1"/>
    <n v="203.07"/>
    <n v="9"/>
    <n v="40.03"/>
    <n v="0.05"/>
    <x v="0"/>
    <n v="0.19712414438371006"/>
    <s v="Home Office"/>
  </r>
  <r>
    <n v="1029"/>
    <x v="27"/>
    <n v="5005"/>
    <x v="1"/>
    <n v="3192.4"/>
    <n v="4"/>
    <n v="882.24"/>
    <n v="0"/>
    <x v="0"/>
    <n v="0.27635634632251599"/>
    <s v="Home Office"/>
  </r>
  <r>
    <n v="1030"/>
    <x v="28"/>
    <n v="5037"/>
    <x v="2"/>
    <n v="1266.22"/>
    <n v="8"/>
    <n v="234.01"/>
    <n v="0.05"/>
    <x v="1"/>
    <n v="0.18480990665129282"/>
    <s v="Consumer"/>
  </r>
  <r>
    <n v="1031"/>
    <x v="29"/>
    <n v="5043"/>
    <x v="2"/>
    <n v="1290.69"/>
    <n v="8"/>
    <n v="125.97"/>
    <n v="0.15"/>
    <x v="1"/>
    <n v="9.7598958696511168E-2"/>
    <s v="Corporate"/>
  </r>
  <r>
    <n v="1032"/>
    <x v="30"/>
    <n v="5044"/>
    <x v="1"/>
    <n v="1836.06"/>
    <n v="7"/>
    <n v="488.32"/>
    <n v="0.15"/>
    <x v="1"/>
    <n v="0.2659608073810224"/>
    <s v="Home Office"/>
  </r>
  <r>
    <n v="1033"/>
    <x v="31"/>
    <n v="5007"/>
    <x v="0"/>
    <n v="4922.41"/>
    <n v="2"/>
    <n v="741.59"/>
    <n v="0"/>
    <x v="0"/>
    <n v="0.15065587791346111"/>
    <s v="Consumer"/>
  </r>
  <r>
    <n v="1034"/>
    <x v="32"/>
    <n v="5018"/>
    <x v="2"/>
    <n v="1038.79"/>
    <n v="9"/>
    <n v="88.34"/>
    <n v="0.15"/>
    <x v="3"/>
    <n v="8.5041249915767392E-2"/>
    <s v="Home Office"/>
  </r>
  <r>
    <n v="1035"/>
    <x v="33"/>
    <n v="5007"/>
    <x v="0"/>
    <n v="1324.05"/>
    <n v="2"/>
    <n v="333.67"/>
    <n v="0.15"/>
    <x v="0"/>
    <n v="0.25200709942977989"/>
    <s v="Consumer"/>
  </r>
  <r>
    <n v="1036"/>
    <x v="34"/>
    <n v="5011"/>
    <x v="2"/>
    <n v="3295.51"/>
    <n v="9"/>
    <n v="963.11"/>
    <n v="0"/>
    <x v="0"/>
    <n v="0.29224915111773292"/>
    <s v="Home Office"/>
  </r>
  <r>
    <n v="1037"/>
    <x v="35"/>
    <n v="5025"/>
    <x v="0"/>
    <n v="2479.64"/>
    <n v="4"/>
    <n v="683.42"/>
    <n v="0.15"/>
    <x v="2"/>
    <n v="0.27561258892419865"/>
    <s v="Consumer"/>
  </r>
  <r>
    <n v="1038"/>
    <x v="36"/>
    <n v="5047"/>
    <x v="1"/>
    <n v="4928.01"/>
    <n v="5"/>
    <n v="597.83000000000004"/>
    <n v="0.15"/>
    <x v="1"/>
    <n v="0.12131265967398605"/>
    <s v="Consumer"/>
  </r>
  <r>
    <n v="1039"/>
    <x v="37"/>
    <n v="5004"/>
    <x v="1"/>
    <n v="3343.17"/>
    <n v="8"/>
    <n v="325.87"/>
    <n v="0.05"/>
    <x v="0"/>
    <n v="9.7473356126071956E-2"/>
    <s v="Consumer"/>
  </r>
  <r>
    <n v="1040"/>
    <x v="38"/>
    <n v="5031"/>
    <x v="1"/>
    <n v="3705.11"/>
    <n v="1"/>
    <n v="238.21"/>
    <n v="0.1"/>
    <x v="2"/>
    <n v="6.429228821816356E-2"/>
    <s v="Corporate"/>
  </r>
  <r>
    <n v="1041"/>
    <x v="39"/>
    <n v="5006"/>
    <x v="0"/>
    <n v="4605"/>
    <n v="9"/>
    <n v="295.73"/>
    <n v="0.05"/>
    <x v="1"/>
    <n v="6.4219326818675357E-2"/>
    <s v="Corporate"/>
  </r>
  <r>
    <n v="1042"/>
    <x v="40"/>
    <n v="5016"/>
    <x v="1"/>
    <n v="435.75"/>
    <n v="2"/>
    <n v="65.77"/>
    <n v="0.05"/>
    <x v="3"/>
    <n v="0.15093516924842226"/>
    <s v="Corporate"/>
  </r>
  <r>
    <n v="1043"/>
    <x v="41"/>
    <n v="5037"/>
    <x v="1"/>
    <n v="3013.14"/>
    <n v="10"/>
    <n v="466.45"/>
    <n v="0"/>
    <x v="1"/>
    <n v="0.15480528617986553"/>
    <s v="Consumer"/>
  </r>
  <r>
    <n v="1044"/>
    <x v="42"/>
    <n v="5016"/>
    <x v="2"/>
    <n v="1650.21"/>
    <n v="5"/>
    <n v="358.81"/>
    <n v="0.05"/>
    <x v="3"/>
    <n v="0.21743293277825246"/>
    <s v="Corporate"/>
  </r>
  <r>
    <n v="1045"/>
    <x v="43"/>
    <n v="5001"/>
    <x v="2"/>
    <n v="2039.35"/>
    <n v="5"/>
    <n v="263.17"/>
    <n v="0.15"/>
    <x v="0"/>
    <n v="0.12904601956505751"/>
    <s v="Home Office"/>
  </r>
  <r>
    <n v="1046"/>
    <x v="44"/>
    <n v="5033"/>
    <x v="2"/>
    <n v="3143.68"/>
    <n v="10"/>
    <n v="214.76"/>
    <n v="0"/>
    <x v="3"/>
    <n v="6.8314841205211724E-2"/>
    <s v="Home Office"/>
  </r>
  <r>
    <n v="1047"/>
    <x v="45"/>
    <n v="5019"/>
    <x v="0"/>
    <n v="749.04"/>
    <n v="6"/>
    <n v="202.1"/>
    <n v="0"/>
    <x v="1"/>
    <n v="0.26981202606002352"/>
    <s v="Home Office"/>
  </r>
  <r>
    <n v="1048"/>
    <x v="46"/>
    <n v="5034"/>
    <x v="0"/>
    <n v="2247.1"/>
    <n v="9"/>
    <n v="455.98"/>
    <n v="0.1"/>
    <x v="3"/>
    <n v="0.20291931823238843"/>
    <s v="Corporate"/>
  </r>
  <r>
    <n v="1049"/>
    <x v="47"/>
    <n v="5009"/>
    <x v="2"/>
    <n v="3372.53"/>
    <n v="9"/>
    <n v="954.22"/>
    <n v="0.1"/>
    <x v="3"/>
    <n v="0.28293892122531156"/>
    <s v="Consumer"/>
  </r>
  <r>
    <n v="1050"/>
    <x v="48"/>
    <n v="5039"/>
    <x v="0"/>
    <n v="665.6"/>
    <n v="2"/>
    <n v="59.15"/>
    <n v="0.2"/>
    <x v="0"/>
    <n v="8.88671875E-2"/>
    <s v="Consumer"/>
  </r>
  <r>
    <n v="1051"/>
    <x v="49"/>
    <n v="5004"/>
    <x v="0"/>
    <n v="3616.3"/>
    <n v="4"/>
    <n v="637.74"/>
    <n v="0.1"/>
    <x v="0"/>
    <n v="0.1763515195088903"/>
    <s v="Consumer"/>
  </r>
  <r>
    <n v="1052"/>
    <x v="50"/>
    <n v="5041"/>
    <x v="2"/>
    <n v="3207.99"/>
    <n v="5"/>
    <n v="163.24"/>
    <n v="0"/>
    <x v="0"/>
    <n v="5.0885445403508124E-2"/>
    <s v="Home Office"/>
  </r>
  <r>
    <n v="1053"/>
    <x v="51"/>
    <n v="5001"/>
    <x v="0"/>
    <n v="891.75"/>
    <n v="8"/>
    <n v="201.91"/>
    <n v="0.2"/>
    <x v="0"/>
    <n v="0.22641996075133164"/>
    <s v="Home Office"/>
  </r>
  <r>
    <n v="1054"/>
    <x v="45"/>
    <n v="5038"/>
    <x v="1"/>
    <n v="468.69"/>
    <n v="3"/>
    <n v="27.66"/>
    <n v="0.2"/>
    <x v="0"/>
    <n v="5.9015553990910838E-2"/>
    <s v="Home Office"/>
  </r>
  <r>
    <n v="1055"/>
    <x v="52"/>
    <n v="5023"/>
    <x v="0"/>
    <n v="825.66"/>
    <n v="3"/>
    <n v="104.91"/>
    <n v="0"/>
    <x v="3"/>
    <n v="0.12706198677421698"/>
    <s v="Consumer"/>
  </r>
  <r>
    <n v="1056"/>
    <x v="53"/>
    <n v="5040"/>
    <x v="1"/>
    <n v="3442.13"/>
    <n v="2"/>
    <n v="843.42"/>
    <n v="0.1"/>
    <x v="1"/>
    <n v="0.24502851432107442"/>
    <s v="Consumer"/>
  </r>
  <r>
    <n v="1057"/>
    <x v="54"/>
    <n v="5027"/>
    <x v="0"/>
    <n v="857.31"/>
    <n v="4"/>
    <n v="252.09"/>
    <n v="0.05"/>
    <x v="2"/>
    <n v="0.29404766070616234"/>
    <s v="Home Office"/>
  </r>
  <r>
    <n v="1058"/>
    <x v="55"/>
    <n v="5018"/>
    <x v="0"/>
    <n v="978.87"/>
    <n v="6"/>
    <n v="245.26"/>
    <n v="0.15"/>
    <x v="3"/>
    <n v="0.2505542104671713"/>
    <s v="Home Office"/>
  </r>
  <r>
    <n v="1059"/>
    <x v="56"/>
    <n v="5015"/>
    <x v="0"/>
    <n v="3958.14"/>
    <n v="2"/>
    <n v="1060.95"/>
    <n v="0.15"/>
    <x v="0"/>
    <n v="0.26804256544740712"/>
    <s v="Consumer"/>
  </r>
  <r>
    <n v="1060"/>
    <x v="57"/>
    <n v="5015"/>
    <x v="0"/>
    <n v="4101.2700000000004"/>
    <n v="8"/>
    <n v="517.98"/>
    <n v="0.1"/>
    <x v="0"/>
    <n v="0.12629746395628672"/>
    <s v="Consumer"/>
  </r>
  <r>
    <n v="1061"/>
    <x v="58"/>
    <n v="5050"/>
    <x v="2"/>
    <n v="3334.16"/>
    <n v="7"/>
    <n v="398.93"/>
    <n v="0.1"/>
    <x v="1"/>
    <n v="0.11964932696691222"/>
    <s v="Consumer"/>
  </r>
  <r>
    <n v="1062"/>
    <x v="59"/>
    <n v="5022"/>
    <x v="0"/>
    <n v="1820.62"/>
    <n v="9"/>
    <n v="400.32"/>
    <n v="0.15"/>
    <x v="1"/>
    <n v="0.21988113939207524"/>
    <s v="Consumer"/>
  </r>
  <r>
    <n v="1063"/>
    <x v="60"/>
    <n v="5003"/>
    <x v="0"/>
    <n v="665.17"/>
    <n v="5"/>
    <n v="129.81"/>
    <n v="0.05"/>
    <x v="0"/>
    <n v="0.19515311875159735"/>
    <s v="Home Office"/>
  </r>
  <r>
    <n v="1064"/>
    <x v="61"/>
    <n v="5008"/>
    <x v="2"/>
    <n v="3023.2"/>
    <n v="6"/>
    <n v="480.99"/>
    <n v="0.1"/>
    <x v="3"/>
    <n v="0.15909962953162213"/>
    <s v="Corporate"/>
  </r>
  <r>
    <n v="1065"/>
    <x v="62"/>
    <n v="5001"/>
    <x v="1"/>
    <n v="4507.57"/>
    <n v="4"/>
    <n v="275.39999999999998"/>
    <n v="0.1"/>
    <x v="0"/>
    <n v="6.1097220897290555E-2"/>
    <s v="Home Office"/>
  </r>
  <r>
    <n v="1066"/>
    <x v="58"/>
    <n v="5043"/>
    <x v="2"/>
    <n v="4635.32"/>
    <n v="9"/>
    <n v="653.84"/>
    <n v="0.05"/>
    <x v="1"/>
    <n v="0.14105606516917926"/>
    <s v="Corporate"/>
  </r>
  <r>
    <n v="1067"/>
    <x v="63"/>
    <n v="5027"/>
    <x v="2"/>
    <n v="3153.46"/>
    <n v="2"/>
    <n v="557.47"/>
    <n v="0.1"/>
    <x v="2"/>
    <n v="0.17678042531061119"/>
    <s v="Home Office"/>
  </r>
  <r>
    <n v="1068"/>
    <x v="64"/>
    <n v="5043"/>
    <x v="2"/>
    <n v="2071.7600000000002"/>
    <n v="5"/>
    <n v="169.52"/>
    <n v="0.2"/>
    <x v="1"/>
    <n v="8.1824149515387884E-2"/>
    <s v="Corporate"/>
  </r>
  <r>
    <n v="1069"/>
    <x v="65"/>
    <n v="5036"/>
    <x v="0"/>
    <n v="3418.86"/>
    <n v="3"/>
    <n v="657.37"/>
    <n v="0.2"/>
    <x v="1"/>
    <n v="0.19227754280666653"/>
    <s v="Home Office"/>
  </r>
  <r>
    <n v="1070"/>
    <x v="23"/>
    <n v="5042"/>
    <x v="2"/>
    <n v="1588.99"/>
    <n v="4"/>
    <n v="391.59"/>
    <n v="0.15"/>
    <x v="1"/>
    <n v="0.24643956223764779"/>
    <s v="Consumer"/>
  </r>
  <r>
    <n v="1071"/>
    <x v="66"/>
    <n v="5043"/>
    <x v="0"/>
    <n v="2378.44"/>
    <n v="8"/>
    <n v="422.87"/>
    <n v="0.05"/>
    <x v="1"/>
    <n v="0.17779300718117758"/>
    <s v="Corporate"/>
  </r>
  <r>
    <n v="1072"/>
    <x v="67"/>
    <n v="5044"/>
    <x v="2"/>
    <n v="1490.55"/>
    <n v="10"/>
    <n v="109.33"/>
    <n v="0.1"/>
    <x v="1"/>
    <n v="7.3348763879105036E-2"/>
    <s v="Home Office"/>
  </r>
  <r>
    <n v="1073"/>
    <x v="68"/>
    <n v="5031"/>
    <x v="1"/>
    <n v="1200.74"/>
    <n v="4"/>
    <n v="67.37"/>
    <n v="0.05"/>
    <x v="2"/>
    <n v="5.6107067308493103E-2"/>
    <s v="Corporate"/>
  </r>
  <r>
    <n v="1074"/>
    <x v="69"/>
    <n v="5037"/>
    <x v="0"/>
    <n v="4263.71"/>
    <n v="2"/>
    <n v="654.95000000000005"/>
    <n v="0.15"/>
    <x v="1"/>
    <n v="0.15361035342459972"/>
    <s v="Consumer"/>
  </r>
  <r>
    <n v="1075"/>
    <x v="70"/>
    <n v="5042"/>
    <x v="1"/>
    <n v="3619.89"/>
    <n v="7"/>
    <n v="542.66999999999996"/>
    <n v="0.15"/>
    <x v="1"/>
    <n v="0.14991339515841642"/>
    <s v="Consumer"/>
  </r>
  <r>
    <n v="1076"/>
    <x v="36"/>
    <n v="5034"/>
    <x v="2"/>
    <n v="127.17"/>
    <n v="2"/>
    <n v="13.32"/>
    <n v="0.15"/>
    <x v="3"/>
    <n v="0.10474168435951875"/>
    <s v="Corporate"/>
  </r>
  <r>
    <n v="1077"/>
    <x v="71"/>
    <n v="5043"/>
    <x v="1"/>
    <n v="346.07"/>
    <n v="4"/>
    <n v="56.8"/>
    <n v="0"/>
    <x v="1"/>
    <n v="0.1641286444938885"/>
    <s v="Corporate"/>
  </r>
  <r>
    <n v="1078"/>
    <x v="72"/>
    <n v="5040"/>
    <x v="1"/>
    <n v="4940.67"/>
    <n v="10"/>
    <n v="1420.49"/>
    <n v="0.1"/>
    <x v="1"/>
    <n v="0.28750958878046906"/>
    <s v="Consumer"/>
  </r>
  <r>
    <n v="1079"/>
    <x v="73"/>
    <n v="5048"/>
    <x v="2"/>
    <n v="4470.8999999999996"/>
    <n v="7"/>
    <n v="721.95"/>
    <n v="0.2"/>
    <x v="0"/>
    <n v="0.16147755485472726"/>
    <s v="Home Office"/>
  </r>
  <r>
    <n v="1080"/>
    <x v="74"/>
    <n v="5032"/>
    <x v="1"/>
    <n v="2305.34"/>
    <n v="4"/>
    <n v="556.63"/>
    <n v="0.1"/>
    <x v="3"/>
    <n v="0.24145245386797606"/>
    <s v="Home Office"/>
  </r>
  <r>
    <n v="1081"/>
    <x v="67"/>
    <n v="5018"/>
    <x v="2"/>
    <n v="1272.3"/>
    <n v="8"/>
    <n v="290.58"/>
    <n v="0"/>
    <x v="3"/>
    <n v="0.22838953077104457"/>
    <s v="Home Office"/>
  </r>
  <r>
    <n v="1082"/>
    <x v="75"/>
    <n v="5025"/>
    <x v="1"/>
    <n v="1666.58"/>
    <n v="9"/>
    <n v="140.97999999999999"/>
    <n v="0"/>
    <x v="2"/>
    <n v="8.4592398804737845E-2"/>
    <s v="Consumer"/>
  </r>
  <r>
    <n v="1083"/>
    <x v="27"/>
    <n v="5035"/>
    <x v="2"/>
    <n v="848.75"/>
    <n v="4"/>
    <n v="130.47"/>
    <n v="0"/>
    <x v="0"/>
    <n v="0.15372017673048602"/>
    <s v="Home Office"/>
  </r>
  <r>
    <n v="1084"/>
    <x v="38"/>
    <n v="5045"/>
    <x v="0"/>
    <n v="2137.29"/>
    <n v="4"/>
    <n v="314.97000000000003"/>
    <n v="0.15"/>
    <x v="3"/>
    <n v="0.14736886430947604"/>
    <s v="Corporate"/>
  </r>
  <r>
    <n v="1085"/>
    <x v="76"/>
    <n v="5020"/>
    <x v="2"/>
    <n v="4297.99"/>
    <n v="10"/>
    <n v="727.41"/>
    <n v="0.15"/>
    <x v="1"/>
    <n v="0.16924422811593326"/>
    <s v="Corporate"/>
  </r>
  <r>
    <n v="1086"/>
    <x v="77"/>
    <n v="5039"/>
    <x v="0"/>
    <n v="4281.8900000000003"/>
    <n v="7"/>
    <n v="1014.29"/>
    <n v="0.2"/>
    <x v="0"/>
    <n v="0.23687904173157179"/>
    <s v="Consumer"/>
  </r>
  <r>
    <n v="1087"/>
    <x v="78"/>
    <n v="5022"/>
    <x v="1"/>
    <n v="2492.3200000000002"/>
    <n v="5"/>
    <n v="427.21"/>
    <n v="0.15"/>
    <x v="1"/>
    <n v="0.17141057328111958"/>
    <s v="Consumer"/>
  </r>
  <r>
    <n v="1088"/>
    <x v="22"/>
    <n v="5040"/>
    <x v="1"/>
    <n v="3427.8"/>
    <n v="7"/>
    <n v="891.66"/>
    <n v="0.05"/>
    <x v="1"/>
    <n v="0.26012602835638016"/>
    <s v="Consumer"/>
  </r>
  <r>
    <n v="1089"/>
    <x v="79"/>
    <n v="5006"/>
    <x v="1"/>
    <n v="232.14"/>
    <n v="7"/>
    <n v="44.36"/>
    <n v="0.2"/>
    <x v="1"/>
    <n v="0.19109158266563281"/>
    <s v="Corporate"/>
  </r>
  <r>
    <n v="1090"/>
    <x v="80"/>
    <n v="5021"/>
    <x v="0"/>
    <n v="2200.1999999999998"/>
    <n v="8"/>
    <n v="137.66999999999999"/>
    <n v="0.05"/>
    <x v="1"/>
    <n v="6.2571584401418051E-2"/>
    <s v="Home Office"/>
  </r>
  <r>
    <n v="1091"/>
    <x v="64"/>
    <n v="5017"/>
    <x v="0"/>
    <n v="2328.0300000000002"/>
    <n v="6"/>
    <n v="278.35000000000002"/>
    <n v="0.15"/>
    <x v="1"/>
    <n v="0.11956461042168701"/>
    <s v="Corporate"/>
  </r>
  <r>
    <n v="1092"/>
    <x v="81"/>
    <n v="5015"/>
    <x v="1"/>
    <n v="2404.5"/>
    <n v="9"/>
    <n v="721.29"/>
    <n v="0"/>
    <x v="0"/>
    <n v="0.29997504678727382"/>
    <s v="Consumer"/>
  </r>
  <r>
    <n v="1093"/>
    <x v="82"/>
    <n v="5002"/>
    <x v="1"/>
    <n v="436.23"/>
    <n v="1"/>
    <n v="125.37"/>
    <n v="0"/>
    <x v="1"/>
    <n v="0.28739426449350114"/>
    <s v="Consumer"/>
  </r>
  <r>
    <n v="1094"/>
    <x v="83"/>
    <n v="5014"/>
    <x v="2"/>
    <n v="846.67"/>
    <n v="3"/>
    <n v="184.04"/>
    <n v="0.15"/>
    <x v="0"/>
    <n v="0.21736922295581512"/>
    <s v="Home Office"/>
  </r>
  <r>
    <n v="1095"/>
    <x v="16"/>
    <n v="5050"/>
    <x v="0"/>
    <n v="3527.38"/>
    <n v="6"/>
    <n v="710.67"/>
    <n v="0.05"/>
    <x v="1"/>
    <n v="0.20147248099155746"/>
    <s v="Consumer"/>
  </r>
  <r>
    <n v="1096"/>
    <x v="84"/>
    <n v="5037"/>
    <x v="1"/>
    <n v="4827.13"/>
    <n v="2"/>
    <n v="272.33999999999997"/>
    <n v="0.2"/>
    <x v="1"/>
    <n v="5.6418617273618063E-2"/>
    <s v="Consumer"/>
  </r>
  <r>
    <n v="1097"/>
    <x v="2"/>
    <n v="5005"/>
    <x v="1"/>
    <n v="4549.33"/>
    <n v="7"/>
    <n v="1298.23"/>
    <n v="0.15"/>
    <x v="0"/>
    <n v="0.2853672958435638"/>
    <s v="Home Office"/>
  </r>
  <r>
    <n v="1098"/>
    <x v="85"/>
    <n v="5044"/>
    <x v="1"/>
    <n v="3484.01"/>
    <n v="4"/>
    <n v="781.46"/>
    <n v="0"/>
    <x v="1"/>
    <n v="0.22429901177091913"/>
    <s v="Home Office"/>
  </r>
  <r>
    <n v="1099"/>
    <x v="86"/>
    <n v="5043"/>
    <x v="2"/>
    <n v="4047.09"/>
    <n v="10"/>
    <n v="553.65"/>
    <n v="0"/>
    <x v="1"/>
    <n v="0.13680199847297686"/>
    <s v="Corporate"/>
  </r>
  <r>
    <n v="1100"/>
    <x v="20"/>
    <n v="5007"/>
    <x v="2"/>
    <n v="437.89"/>
    <n v="6"/>
    <n v="114.9"/>
    <n v="0"/>
    <x v="0"/>
    <n v="0.26239466532690858"/>
    <s v="Consumer"/>
  </r>
  <r>
    <m/>
    <x v="87"/>
    <m/>
    <x v="3"/>
    <m/>
    <m/>
    <m/>
    <m/>
    <x v="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">
  <r>
    <n v="1001"/>
    <d v="2025-03-13T00:00:00"/>
    <n v="5048"/>
    <s v="Furniture"/>
    <n v="3233.19"/>
    <n v="1"/>
    <n v="359.6"/>
    <n v="0.1"/>
    <s v="North"/>
    <n v="0.11122142527967735"/>
    <s v="Home Office"/>
    <x v="0"/>
  </r>
  <r>
    <n v="1002"/>
    <d v="2025-01-17T00:00:00"/>
    <n v="5002"/>
    <s v="Furniture"/>
    <n v="3415.83"/>
    <n v="9"/>
    <n v="675.05"/>
    <n v="0"/>
    <s v="South"/>
    <n v="0.19762400353647575"/>
    <s v="Consumer"/>
    <x v="1"/>
  </r>
  <r>
    <n v="1003"/>
    <d v="2025-04-12T00:00:00"/>
    <n v="5046"/>
    <s v="Office Supplies"/>
    <n v="1171.33"/>
    <n v="9"/>
    <n v="66.34"/>
    <n v="0.2"/>
    <s v="West"/>
    <n v="5.6636473069075328E-2"/>
    <s v="Home Office"/>
    <x v="2"/>
  </r>
  <r>
    <n v="1004"/>
    <d v="2025-05-23T00:00:00"/>
    <n v="5001"/>
    <s v="Furniture"/>
    <n v="3536.49"/>
    <n v="7"/>
    <n v="573.98"/>
    <n v="0.05"/>
    <s v="North"/>
    <n v="0.16230216966540273"/>
    <s v="Home Office"/>
    <x v="3"/>
  </r>
  <r>
    <n v="1005"/>
    <d v="2025-06-22T00:00:00"/>
    <n v="5007"/>
    <s v="Furniture"/>
    <n v="3520.88"/>
    <n v="6"/>
    <n v="312.89999999999998"/>
    <n v="0.1"/>
    <s v="North"/>
    <n v="8.8869827997546058E-2"/>
    <s v="Consumer"/>
    <x v="4"/>
  </r>
  <r>
    <n v="1006"/>
    <d v="2025-01-23T00:00:00"/>
    <n v="5047"/>
    <s v="Technology"/>
    <n v="1961.64"/>
    <n v="6"/>
    <n v="394.16"/>
    <n v="0.1"/>
    <s v="South"/>
    <n v="0.20093391244061093"/>
    <s v="Consumer"/>
    <x v="5"/>
  </r>
  <r>
    <n v="1007"/>
    <d v="2025-11-18T00:00:00"/>
    <n v="5040"/>
    <s v="Technology"/>
    <n v="2727.52"/>
    <n v="7"/>
    <n v="512.79999999999995"/>
    <n v="0"/>
    <s v="South"/>
    <n v="0.18800962046107819"/>
    <s v="Consumer"/>
    <x v="6"/>
  </r>
  <r>
    <n v="1008"/>
    <d v="2025-05-29T00:00:00"/>
    <n v="5006"/>
    <s v="Furniture"/>
    <n v="2929.03"/>
    <n v="2"/>
    <n v="630.66999999999996"/>
    <n v="0"/>
    <s v="South"/>
    <n v="0.21531701621355873"/>
    <s v="Corporate"/>
    <x v="7"/>
  </r>
  <r>
    <n v="1009"/>
    <d v="2025-07-06T00:00:00"/>
    <n v="5011"/>
    <s v="Technology"/>
    <n v="4345.7700000000004"/>
    <n v="7"/>
    <n v="709.89"/>
    <n v="0.1"/>
    <s v="North"/>
    <n v="0.16335194913674675"/>
    <s v="Home Office"/>
    <x v="6"/>
  </r>
  <r>
    <n v="1010"/>
    <d v="2025-03-29T00:00:00"/>
    <n v="5035"/>
    <s v="Office Supplies"/>
    <n v="1840.83"/>
    <n v="5"/>
    <n v="372.37"/>
    <n v="0"/>
    <s v="North"/>
    <n v="0.20228375243775906"/>
    <s v="Home Office"/>
    <x v="8"/>
  </r>
  <r>
    <n v="1011"/>
    <d v="2025-11-24T00:00:00"/>
    <n v="5045"/>
    <s v="Office Supplies"/>
    <n v="1299.57"/>
    <n v="8"/>
    <n v="152.68"/>
    <n v="0.15"/>
    <s v="East"/>
    <n v="0.11748501427395217"/>
    <s v="Corporate"/>
    <x v="9"/>
  </r>
  <r>
    <n v="1012"/>
    <d v="2025-01-17T00:00:00"/>
    <n v="5021"/>
    <s v="Technology"/>
    <n v="1176.1099999999999"/>
    <n v="6"/>
    <n v="126.15"/>
    <n v="0"/>
    <s v="South"/>
    <n v="0.10726037530503101"/>
    <s v="Home Office"/>
    <x v="10"/>
  </r>
  <r>
    <n v="1013"/>
    <d v="2025-06-11T00:00:00"/>
    <n v="5014"/>
    <s v="Office Supplies"/>
    <n v="1411.93"/>
    <n v="4"/>
    <n v="379.94"/>
    <n v="0.2"/>
    <s v="North"/>
    <n v="0.26909266040101137"/>
    <s v="Home Office"/>
    <x v="11"/>
  </r>
  <r>
    <n v="1014"/>
    <d v="2025-05-07T00:00:00"/>
    <n v="5048"/>
    <s v="Office Supplies"/>
    <n v="2546.23"/>
    <n v="8"/>
    <n v="295.92"/>
    <n v="0.05"/>
    <s v="North"/>
    <n v="0.11621888046248768"/>
    <s v="Home Office"/>
    <x v="0"/>
  </r>
  <r>
    <n v="1015"/>
    <d v="2025-07-24T00:00:00"/>
    <n v="5024"/>
    <s v="Furniture"/>
    <n v="2740.99"/>
    <n v="10"/>
    <n v="752.28"/>
    <n v="0.15"/>
    <s v="South"/>
    <n v="0.27445557991820474"/>
    <s v="Home Office"/>
    <x v="12"/>
  </r>
  <r>
    <n v="1016"/>
    <d v="2025-01-25T00:00:00"/>
    <n v="5008"/>
    <s v="Furniture"/>
    <n v="4986.8999999999996"/>
    <n v="3"/>
    <n v="864.62"/>
    <n v="0.2"/>
    <s v="East"/>
    <n v="0.1733782510176663"/>
    <s v="Corporate"/>
    <x v="13"/>
  </r>
  <r>
    <n v="1017"/>
    <d v="2025-07-15T00:00:00"/>
    <n v="5039"/>
    <s v="Technology"/>
    <n v="3174.49"/>
    <n v="7"/>
    <n v="209.14"/>
    <n v="0.2"/>
    <s v="North"/>
    <n v="6.5881448673645218E-2"/>
    <s v="Consumer"/>
    <x v="14"/>
  </r>
  <r>
    <n v="1018"/>
    <d v="2025-02-28T00:00:00"/>
    <n v="5044"/>
    <s v="Office Supplies"/>
    <n v="2692.66"/>
    <n v="9"/>
    <n v="592.58000000000004"/>
    <n v="0"/>
    <s v="South"/>
    <n v="0.22007234481887802"/>
    <s v="Home Office"/>
    <x v="15"/>
  </r>
  <r>
    <n v="1019"/>
    <d v="2025-03-22T00:00:00"/>
    <n v="5030"/>
    <s v="Furniture"/>
    <n v="3779.3"/>
    <n v="6"/>
    <n v="466.27"/>
    <n v="0"/>
    <s v="South"/>
    <n v="0.12337469901833671"/>
    <s v="Home Office"/>
    <x v="16"/>
  </r>
  <r>
    <n v="1020"/>
    <d v="2025-09-17T00:00:00"/>
    <n v="5007"/>
    <s v="Office Supplies"/>
    <n v="4773.7"/>
    <n v="5"/>
    <n v="1148.03"/>
    <n v="0.2"/>
    <s v="North"/>
    <n v="0.24049060477197981"/>
    <s v="Consumer"/>
    <x v="4"/>
  </r>
  <r>
    <n v="1021"/>
    <d v="2025-07-11T00:00:00"/>
    <n v="5049"/>
    <s v="Furniture"/>
    <n v="1562.38"/>
    <n v="9"/>
    <n v="155.81"/>
    <n v="0.2"/>
    <s v="South"/>
    <n v="9.9726058961328218E-2"/>
    <s v="Consumer"/>
    <x v="17"/>
  </r>
  <r>
    <n v="1022"/>
    <d v="2025-09-08T00:00:00"/>
    <n v="5002"/>
    <s v="Furniture"/>
    <n v="2742.96"/>
    <n v="9"/>
    <n v="547.87"/>
    <n v="0"/>
    <s v="South"/>
    <n v="0.19973678070405693"/>
    <s v="Consumer"/>
    <x v="1"/>
  </r>
  <r>
    <n v="1023"/>
    <d v="2025-10-18T00:00:00"/>
    <n v="5006"/>
    <s v="Furniture"/>
    <n v="4652.58"/>
    <n v="5"/>
    <n v="300"/>
    <n v="0.05"/>
    <s v="South"/>
    <n v="6.4480352836490729E-2"/>
    <s v="Corporate"/>
    <x v="7"/>
  </r>
  <r>
    <n v="1024"/>
    <d v="2025-03-07T00:00:00"/>
    <n v="5043"/>
    <s v="Technology"/>
    <n v="3686.35"/>
    <n v="2"/>
    <n v="890.1"/>
    <n v="0.2"/>
    <s v="South"/>
    <n v="0.24145835311351338"/>
    <s v="Corporate"/>
    <x v="18"/>
  </r>
  <r>
    <n v="1025"/>
    <d v="2025-11-07T00:00:00"/>
    <n v="5028"/>
    <s v="Furniture"/>
    <n v="4739.5600000000004"/>
    <n v="3"/>
    <n v="862.21"/>
    <n v="0.1"/>
    <s v="South"/>
    <n v="0.18191773075981735"/>
    <s v="Consumer"/>
    <x v="19"/>
  </r>
  <r>
    <n v="1026"/>
    <d v="2025-12-10T00:00:00"/>
    <n v="5042"/>
    <s v="Technology"/>
    <n v="4651.68"/>
    <n v="4"/>
    <n v="696.58"/>
    <n v="0.1"/>
    <s v="South"/>
    <n v="0.14974804801706051"/>
    <s v="Consumer"/>
    <x v="5"/>
  </r>
  <r>
    <n v="1027"/>
    <d v="2025-04-26T00:00:00"/>
    <n v="5005"/>
    <s v="Technology"/>
    <n v="2246.69"/>
    <n v="9"/>
    <n v="180.3"/>
    <n v="0.15"/>
    <s v="North"/>
    <n v="8.025139204785707E-2"/>
    <s v="Home Office"/>
    <x v="20"/>
  </r>
  <r>
    <n v="1028"/>
    <d v="2025-01-04T00:00:00"/>
    <n v="5005"/>
    <s v="Office Supplies"/>
    <n v="203.07"/>
    <n v="9"/>
    <n v="40.03"/>
    <n v="0.05"/>
    <s v="North"/>
    <n v="0.19712414438371006"/>
    <s v="Home Office"/>
    <x v="20"/>
  </r>
  <r>
    <n v="1029"/>
    <d v="2025-06-19T00:00:00"/>
    <n v="5005"/>
    <s v="Office Supplies"/>
    <n v="3192.4"/>
    <n v="4"/>
    <n v="882.24"/>
    <n v="0"/>
    <s v="North"/>
    <n v="0.27635634632251599"/>
    <s v="Home Office"/>
    <x v="20"/>
  </r>
  <r>
    <n v="1030"/>
    <d v="2025-10-20T00:00:00"/>
    <n v="5037"/>
    <s v="Technology"/>
    <n v="1266.22"/>
    <n v="8"/>
    <n v="234.01"/>
    <n v="0.05"/>
    <s v="South"/>
    <n v="0.18480990665129282"/>
    <s v="Consumer"/>
    <x v="21"/>
  </r>
  <r>
    <n v="1031"/>
    <d v="2025-02-19T00:00:00"/>
    <n v="5043"/>
    <s v="Technology"/>
    <n v="1290.69"/>
    <n v="8"/>
    <n v="125.97"/>
    <n v="0.15"/>
    <s v="South"/>
    <n v="9.7598958696511168E-2"/>
    <s v="Corporate"/>
    <x v="18"/>
  </r>
  <r>
    <n v="1032"/>
    <d v="2025-01-28T00:00:00"/>
    <n v="5044"/>
    <s v="Office Supplies"/>
    <n v="1836.06"/>
    <n v="7"/>
    <n v="488.32"/>
    <n v="0.15"/>
    <s v="South"/>
    <n v="0.2659608073810224"/>
    <s v="Home Office"/>
    <x v="15"/>
  </r>
  <r>
    <n v="1033"/>
    <d v="2025-06-23T00:00:00"/>
    <n v="5007"/>
    <s v="Furniture"/>
    <n v="4922.41"/>
    <n v="2"/>
    <n v="741.59"/>
    <n v="0"/>
    <s v="North"/>
    <n v="0.15065587791346111"/>
    <s v="Consumer"/>
    <x v="4"/>
  </r>
  <r>
    <n v="1034"/>
    <d v="2025-04-04T00:00:00"/>
    <n v="5018"/>
    <s v="Technology"/>
    <n v="1038.79"/>
    <n v="9"/>
    <n v="88.34"/>
    <n v="0.15"/>
    <s v="East"/>
    <n v="8.5041249915767392E-2"/>
    <s v="Home Office"/>
    <x v="22"/>
  </r>
  <r>
    <n v="1035"/>
    <d v="2025-10-09T00:00:00"/>
    <n v="5007"/>
    <s v="Furniture"/>
    <n v="1324.05"/>
    <n v="2"/>
    <n v="333.67"/>
    <n v="0.15"/>
    <s v="North"/>
    <n v="0.25200709942977989"/>
    <s v="Consumer"/>
    <x v="4"/>
  </r>
  <r>
    <n v="1036"/>
    <d v="2025-05-02T00:00:00"/>
    <n v="5011"/>
    <s v="Technology"/>
    <n v="3295.51"/>
    <n v="9"/>
    <n v="963.11"/>
    <n v="0"/>
    <s v="North"/>
    <n v="0.29224915111773292"/>
    <s v="Home Office"/>
    <x v="6"/>
  </r>
  <r>
    <n v="1037"/>
    <d v="2025-03-26T00:00:00"/>
    <n v="5025"/>
    <s v="Furniture"/>
    <n v="2479.64"/>
    <n v="4"/>
    <n v="683.42"/>
    <n v="0.15"/>
    <s v="West"/>
    <n v="0.27561258892419865"/>
    <s v="Consumer"/>
    <x v="23"/>
  </r>
  <r>
    <n v="1038"/>
    <d v="2025-12-23T00:00:00"/>
    <n v="5047"/>
    <s v="Office Supplies"/>
    <n v="4928.01"/>
    <n v="5"/>
    <n v="597.83000000000004"/>
    <n v="0.15"/>
    <s v="South"/>
    <n v="0.12131265967398605"/>
    <s v="Consumer"/>
    <x v="5"/>
  </r>
  <r>
    <n v="1039"/>
    <d v="2025-04-22T00:00:00"/>
    <n v="5004"/>
    <s v="Office Supplies"/>
    <n v="3343.17"/>
    <n v="8"/>
    <n v="325.87"/>
    <n v="0.05"/>
    <s v="North"/>
    <n v="9.7473356126071956E-2"/>
    <s v="Consumer"/>
    <x v="24"/>
  </r>
  <r>
    <n v="1040"/>
    <d v="2025-10-27T00:00:00"/>
    <n v="5031"/>
    <s v="Office Supplies"/>
    <n v="3705.11"/>
    <n v="1"/>
    <n v="238.21"/>
    <n v="0.1"/>
    <s v="West"/>
    <n v="6.429228821816356E-2"/>
    <s v="Corporate"/>
    <x v="25"/>
  </r>
  <r>
    <n v="1041"/>
    <d v="2025-09-18T00:00:00"/>
    <n v="5006"/>
    <s v="Furniture"/>
    <n v="4605"/>
    <n v="9"/>
    <n v="295.73"/>
    <n v="0.05"/>
    <s v="South"/>
    <n v="6.4219326818675357E-2"/>
    <s v="Corporate"/>
    <x v="7"/>
  </r>
  <r>
    <n v="1042"/>
    <d v="2025-10-19T00:00:00"/>
    <n v="5016"/>
    <s v="Office Supplies"/>
    <n v="435.75"/>
    <n v="2"/>
    <n v="65.77"/>
    <n v="0.05"/>
    <s v="East"/>
    <n v="0.15093516924842226"/>
    <s v="Corporate"/>
    <x v="26"/>
  </r>
  <r>
    <n v="1043"/>
    <d v="2025-10-26T00:00:00"/>
    <n v="5037"/>
    <s v="Office Supplies"/>
    <n v="3013.14"/>
    <n v="10"/>
    <n v="466.45"/>
    <n v="0"/>
    <s v="South"/>
    <n v="0.15480528617986553"/>
    <s v="Consumer"/>
    <x v="21"/>
  </r>
  <r>
    <n v="1044"/>
    <d v="2025-06-10T00:00:00"/>
    <n v="5016"/>
    <s v="Technology"/>
    <n v="1650.21"/>
    <n v="5"/>
    <n v="358.81"/>
    <n v="0.05"/>
    <s v="East"/>
    <n v="0.21743293277825246"/>
    <s v="Corporate"/>
    <x v="26"/>
  </r>
  <r>
    <n v="1045"/>
    <d v="2025-02-07T00:00:00"/>
    <n v="5001"/>
    <s v="Technology"/>
    <n v="2039.35"/>
    <n v="5"/>
    <n v="263.17"/>
    <n v="0.15"/>
    <s v="North"/>
    <n v="0.12904601956505751"/>
    <s v="Home Office"/>
    <x v="3"/>
  </r>
  <r>
    <n v="1046"/>
    <d v="2025-04-20T00:00:00"/>
    <n v="5033"/>
    <s v="Technology"/>
    <n v="3143.68"/>
    <n v="10"/>
    <n v="214.76"/>
    <n v="0"/>
    <s v="East"/>
    <n v="6.8314841205211724E-2"/>
    <s v="Home Office"/>
    <x v="27"/>
  </r>
  <r>
    <n v="1047"/>
    <d v="2025-07-09T00:00:00"/>
    <n v="5019"/>
    <s v="Furniture"/>
    <n v="749.04"/>
    <n v="6"/>
    <n v="202.1"/>
    <n v="0"/>
    <s v="South"/>
    <n v="0.26981202606002352"/>
    <s v="Home Office"/>
    <x v="3"/>
  </r>
  <r>
    <n v="1048"/>
    <d v="2025-12-01T00:00:00"/>
    <n v="5034"/>
    <s v="Furniture"/>
    <n v="2247.1"/>
    <n v="9"/>
    <n v="455.98"/>
    <n v="0.1"/>
    <s v="East"/>
    <n v="0.20291931823238843"/>
    <s v="Corporate"/>
    <x v="28"/>
  </r>
  <r>
    <n v="1049"/>
    <d v="2025-02-23T00:00:00"/>
    <n v="5009"/>
    <s v="Technology"/>
    <n v="3372.53"/>
    <n v="9"/>
    <n v="954.22"/>
    <n v="0.1"/>
    <s v="East"/>
    <n v="0.28293892122531156"/>
    <s v="Consumer"/>
    <x v="29"/>
  </r>
  <r>
    <n v="1050"/>
    <d v="2025-05-25T00:00:00"/>
    <n v="5039"/>
    <s v="Furniture"/>
    <n v="665.6"/>
    <n v="2"/>
    <n v="59.15"/>
    <n v="0.2"/>
    <s v="North"/>
    <n v="8.88671875E-2"/>
    <s v="Consumer"/>
    <x v="14"/>
  </r>
  <r>
    <n v="1051"/>
    <d v="2025-05-09T00:00:00"/>
    <n v="5004"/>
    <s v="Furniture"/>
    <n v="3616.3"/>
    <n v="4"/>
    <n v="637.74"/>
    <n v="0.1"/>
    <s v="North"/>
    <n v="0.1763515195088903"/>
    <s v="Consumer"/>
    <x v="24"/>
  </r>
  <r>
    <n v="1052"/>
    <d v="2025-03-08T00:00:00"/>
    <n v="5041"/>
    <s v="Technology"/>
    <n v="3207.99"/>
    <n v="5"/>
    <n v="163.24"/>
    <n v="0"/>
    <s v="North"/>
    <n v="5.0885445403508124E-2"/>
    <s v="Home Office"/>
    <x v="11"/>
  </r>
  <r>
    <n v="1053"/>
    <d v="2025-10-15T00:00:00"/>
    <n v="5001"/>
    <s v="Furniture"/>
    <n v="891.75"/>
    <n v="8"/>
    <n v="201.91"/>
    <n v="0.2"/>
    <s v="North"/>
    <n v="0.22641996075133164"/>
    <s v="Home Office"/>
    <x v="3"/>
  </r>
  <r>
    <n v="1054"/>
    <d v="2025-07-09T00:00:00"/>
    <n v="5038"/>
    <s v="Office Supplies"/>
    <n v="468.69"/>
    <n v="3"/>
    <n v="27.66"/>
    <n v="0.2"/>
    <s v="North"/>
    <n v="5.9015553990910838E-2"/>
    <s v="Home Office"/>
    <x v="30"/>
  </r>
  <r>
    <n v="1055"/>
    <d v="2025-01-21T00:00:00"/>
    <n v="5023"/>
    <s v="Furniture"/>
    <n v="825.66"/>
    <n v="3"/>
    <n v="104.91"/>
    <n v="0"/>
    <s v="East"/>
    <n v="0.12706198677421698"/>
    <s v="Consumer"/>
    <x v="31"/>
  </r>
  <r>
    <n v="1056"/>
    <d v="2025-07-28T00:00:00"/>
    <n v="5040"/>
    <s v="Office Supplies"/>
    <n v="3442.13"/>
    <n v="2"/>
    <n v="843.42"/>
    <n v="0.1"/>
    <s v="South"/>
    <n v="0.24502851432107442"/>
    <s v="Consumer"/>
    <x v="6"/>
  </r>
  <r>
    <n v="1057"/>
    <d v="2025-04-01T00:00:00"/>
    <n v="5027"/>
    <s v="Furniture"/>
    <n v="857.31"/>
    <n v="4"/>
    <n v="252.09"/>
    <n v="0.05"/>
    <s v="West"/>
    <n v="0.29404766070616234"/>
    <s v="Home Office"/>
    <x v="32"/>
  </r>
  <r>
    <n v="1058"/>
    <d v="2025-05-08T00:00:00"/>
    <n v="5018"/>
    <s v="Furniture"/>
    <n v="978.87"/>
    <n v="6"/>
    <n v="245.26"/>
    <n v="0.15"/>
    <s v="East"/>
    <n v="0.2505542104671713"/>
    <s v="Home Office"/>
    <x v="22"/>
  </r>
  <r>
    <n v="1059"/>
    <d v="2025-08-29T00:00:00"/>
    <n v="5015"/>
    <s v="Furniture"/>
    <n v="3958.14"/>
    <n v="2"/>
    <n v="1060.95"/>
    <n v="0.15"/>
    <s v="North"/>
    <n v="0.26804256544740712"/>
    <s v="Consumer"/>
    <x v="33"/>
  </r>
  <r>
    <n v="1060"/>
    <d v="2025-04-27T00:00:00"/>
    <n v="5015"/>
    <s v="Furniture"/>
    <n v="4101.2700000000004"/>
    <n v="8"/>
    <n v="517.98"/>
    <n v="0.1"/>
    <s v="North"/>
    <n v="0.12629746395628672"/>
    <s v="Consumer"/>
    <x v="33"/>
  </r>
  <r>
    <n v="1061"/>
    <d v="2025-02-05T00:00:00"/>
    <n v="5050"/>
    <s v="Technology"/>
    <n v="3334.16"/>
    <n v="7"/>
    <n v="398.93"/>
    <n v="0.1"/>
    <s v="South"/>
    <n v="0.11964932696691222"/>
    <s v="Consumer"/>
    <x v="34"/>
  </r>
  <r>
    <n v="1062"/>
    <d v="2025-10-02T00:00:00"/>
    <n v="5022"/>
    <s v="Furniture"/>
    <n v="1820.62"/>
    <n v="9"/>
    <n v="400.32"/>
    <n v="0.15"/>
    <s v="South"/>
    <n v="0.21988113939207524"/>
    <s v="Consumer"/>
    <x v="35"/>
  </r>
  <r>
    <n v="1063"/>
    <d v="2025-05-16T00:00:00"/>
    <n v="5003"/>
    <s v="Furniture"/>
    <n v="665.17"/>
    <n v="5"/>
    <n v="129.81"/>
    <n v="0.05"/>
    <s v="North"/>
    <n v="0.19515311875159735"/>
    <s v="Home Office"/>
    <x v="36"/>
  </r>
  <r>
    <n v="1064"/>
    <d v="2025-09-19T00:00:00"/>
    <n v="5008"/>
    <s v="Technology"/>
    <n v="3023.2"/>
    <n v="6"/>
    <n v="480.99"/>
    <n v="0.1"/>
    <s v="East"/>
    <n v="0.15909962953162213"/>
    <s v="Corporate"/>
    <x v="13"/>
  </r>
  <r>
    <n v="1065"/>
    <d v="2025-08-12T00:00:00"/>
    <n v="5001"/>
    <s v="Office Supplies"/>
    <n v="4507.57"/>
    <n v="4"/>
    <n v="275.39999999999998"/>
    <n v="0.1"/>
    <s v="North"/>
    <n v="6.1097220897290555E-2"/>
    <s v="Home Office"/>
    <x v="3"/>
  </r>
  <r>
    <n v="1066"/>
    <d v="2025-02-05T00:00:00"/>
    <n v="5043"/>
    <s v="Technology"/>
    <n v="4635.32"/>
    <n v="9"/>
    <n v="653.84"/>
    <n v="0.05"/>
    <s v="South"/>
    <n v="0.14105606516917926"/>
    <s v="Corporate"/>
    <x v="18"/>
  </r>
  <r>
    <n v="1067"/>
    <d v="2025-12-08T00:00:00"/>
    <n v="5027"/>
    <s v="Technology"/>
    <n v="3153.46"/>
    <n v="2"/>
    <n v="557.47"/>
    <n v="0.1"/>
    <s v="West"/>
    <n v="0.17678042531061119"/>
    <s v="Home Office"/>
    <x v="32"/>
  </r>
  <r>
    <n v="1068"/>
    <d v="2025-08-04T00:00:00"/>
    <n v="5043"/>
    <s v="Technology"/>
    <n v="2071.7600000000002"/>
    <n v="5"/>
    <n v="169.52"/>
    <n v="0.2"/>
    <s v="South"/>
    <n v="8.1824149515387884E-2"/>
    <s v="Corporate"/>
    <x v="18"/>
  </r>
  <r>
    <n v="1069"/>
    <d v="2025-07-27T00:00:00"/>
    <n v="5036"/>
    <s v="Furniture"/>
    <n v="3418.86"/>
    <n v="3"/>
    <n v="657.37"/>
    <n v="0.2"/>
    <s v="South"/>
    <n v="0.19227754280666653"/>
    <s v="Home Office"/>
    <x v="37"/>
  </r>
  <r>
    <n v="1070"/>
    <d v="2025-11-07T00:00:00"/>
    <n v="5042"/>
    <s v="Technology"/>
    <n v="1588.99"/>
    <n v="4"/>
    <n v="391.59"/>
    <n v="0.15"/>
    <s v="South"/>
    <n v="0.24643956223764779"/>
    <s v="Consumer"/>
    <x v="5"/>
  </r>
  <r>
    <n v="1071"/>
    <d v="2025-03-28T00:00:00"/>
    <n v="5043"/>
    <s v="Furniture"/>
    <n v="2378.44"/>
    <n v="8"/>
    <n v="422.87"/>
    <n v="0.05"/>
    <s v="South"/>
    <n v="0.17779300718117758"/>
    <s v="Corporate"/>
    <x v="18"/>
  </r>
  <r>
    <n v="1072"/>
    <d v="2025-05-01T00:00:00"/>
    <n v="5044"/>
    <s v="Technology"/>
    <n v="1490.55"/>
    <n v="10"/>
    <n v="109.33"/>
    <n v="0.1"/>
    <s v="South"/>
    <n v="7.3348763879105036E-2"/>
    <s v="Home Office"/>
    <x v="15"/>
  </r>
  <r>
    <n v="1073"/>
    <d v="2025-05-06T00:00:00"/>
    <n v="5031"/>
    <s v="Office Supplies"/>
    <n v="1200.74"/>
    <n v="4"/>
    <n v="67.37"/>
    <n v="0.05"/>
    <s v="West"/>
    <n v="5.6107067308493103E-2"/>
    <s v="Corporate"/>
    <x v="25"/>
  </r>
  <r>
    <n v="1074"/>
    <d v="2025-11-19T00:00:00"/>
    <n v="5037"/>
    <s v="Furniture"/>
    <n v="4263.71"/>
    <n v="2"/>
    <n v="654.95000000000005"/>
    <n v="0.15"/>
    <s v="South"/>
    <n v="0.15361035342459972"/>
    <s v="Consumer"/>
    <x v="21"/>
  </r>
  <r>
    <n v="1075"/>
    <d v="2025-03-17T00:00:00"/>
    <n v="5042"/>
    <s v="Office Supplies"/>
    <n v="3619.89"/>
    <n v="7"/>
    <n v="542.66999999999996"/>
    <n v="0.15"/>
    <s v="South"/>
    <n v="0.14991339515841642"/>
    <s v="Consumer"/>
    <x v="5"/>
  </r>
  <r>
    <n v="1076"/>
    <d v="2025-12-23T00:00:00"/>
    <n v="5034"/>
    <s v="Technology"/>
    <n v="127.17"/>
    <n v="2"/>
    <n v="13.32"/>
    <n v="0.15"/>
    <s v="East"/>
    <n v="0.10474168435951875"/>
    <s v="Corporate"/>
    <x v="28"/>
  </r>
  <r>
    <n v="1077"/>
    <d v="2025-08-26T00:00:00"/>
    <n v="5043"/>
    <s v="Office Supplies"/>
    <n v="346.07"/>
    <n v="4"/>
    <n v="56.8"/>
    <n v="0"/>
    <s v="South"/>
    <n v="0.1641286444938885"/>
    <s v="Corporate"/>
    <x v="18"/>
  </r>
  <r>
    <n v="1078"/>
    <d v="2025-08-15T00:00:00"/>
    <n v="5040"/>
    <s v="Office Supplies"/>
    <n v="4940.67"/>
    <n v="10"/>
    <n v="1420.49"/>
    <n v="0.1"/>
    <s v="South"/>
    <n v="0.28750958878046906"/>
    <s v="Consumer"/>
    <x v="6"/>
  </r>
  <r>
    <n v="1079"/>
    <d v="2025-03-23T00:00:00"/>
    <n v="5048"/>
    <s v="Technology"/>
    <n v="4470.8999999999996"/>
    <n v="7"/>
    <n v="721.95"/>
    <n v="0.2"/>
    <s v="North"/>
    <n v="0.16147755485472726"/>
    <s v="Home Office"/>
    <x v="0"/>
  </r>
  <r>
    <n v="1080"/>
    <d v="2025-09-24T00:00:00"/>
    <n v="5032"/>
    <s v="Office Supplies"/>
    <n v="2305.34"/>
    <n v="4"/>
    <n v="556.63"/>
    <n v="0.1"/>
    <s v="East"/>
    <n v="0.24145245386797606"/>
    <s v="Home Office"/>
    <x v="38"/>
  </r>
  <r>
    <n v="1081"/>
    <d v="2025-05-01T00:00:00"/>
    <n v="5018"/>
    <s v="Technology"/>
    <n v="1272.3"/>
    <n v="8"/>
    <n v="290.58"/>
    <n v="0"/>
    <s v="East"/>
    <n v="0.22838953077104457"/>
    <s v="Home Office"/>
    <x v="22"/>
  </r>
  <r>
    <n v="1082"/>
    <d v="2025-04-29T00:00:00"/>
    <n v="5025"/>
    <s v="Office Supplies"/>
    <n v="1666.58"/>
    <n v="9"/>
    <n v="140.97999999999999"/>
    <n v="0"/>
    <s v="West"/>
    <n v="8.4592398804737845E-2"/>
    <s v="Consumer"/>
    <x v="23"/>
  </r>
  <r>
    <n v="1083"/>
    <d v="2025-06-19T00:00:00"/>
    <n v="5035"/>
    <s v="Technology"/>
    <n v="848.75"/>
    <n v="4"/>
    <n v="130.47"/>
    <n v="0"/>
    <s v="North"/>
    <n v="0.15372017673048602"/>
    <s v="Home Office"/>
    <x v="8"/>
  </r>
  <r>
    <n v="1084"/>
    <d v="2025-10-27T00:00:00"/>
    <n v="5045"/>
    <s v="Furniture"/>
    <n v="2137.29"/>
    <n v="4"/>
    <n v="314.97000000000003"/>
    <n v="0.15"/>
    <s v="East"/>
    <n v="0.14736886430947604"/>
    <s v="Corporate"/>
    <x v="9"/>
  </r>
  <r>
    <n v="1085"/>
    <d v="2025-06-30T00:00:00"/>
    <n v="5020"/>
    <s v="Technology"/>
    <n v="4297.99"/>
    <n v="10"/>
    <n v="727.41"/>
    <n v="0.15"/>
    <s v="South"/>
    <n v="0.16924422811593326"/>
    <s v="Corporate"/>
    <x v="9"/>
  </r>
  <r>
    <n v="1086"/>
    <d v="2025-10-07T00:00:00"/>
    <n v="5039"/>
    <s v="Furniture"/>
    <n v="4281.8900000000003"/>
    <n v="7"/>
    <n v="1014.29"/>
    <n v="0.2"/>
    <s v="North"/>
    <n v="0.23687904173157179"/>
    <s v="Consumer"/>
    <x v="14"/>
  </r>
  <r>
    <n v="1087"/>
    <d v="2025-07-19T00:00:00"/>
    <n v="5022"/>
    <s v="Office Supplies"/>
    <n v="2492.3200000000002"/>
    <n v="5"/>
    <n v="427.21"/>
    <n v="0.15"/>
    <s v="South"/>
    <n v="0.17141057328111958"/>
    <s v="Consumer"/>
    <x v="35"/>
  </r>
  <r>
    <n v="1088"/>
    <d v="2025-03-07T00:00:00"/>
    <n v="5040"/>
    <s v="Office Supplies"/>
    <n v="3427.8"/>
    <n v="7"/>
    <n v="891.66"/>
    <n v="0.05"/>
    <s v="South"/>
    <n v="0.26012602835638016"/>
    <s v="Consumer"/>
    <x v="6"/>
  </r>
  <r>
    <n v="1089"/>
    <d v="2025-01-14T00:00:00"/>
    <n v="5006"/>
    <s v="Office Supplies"/>
    <n v="232.14"/>
    <n v="7"/>
    <n v="44.36"/>
    <n v="0.2"/>
    <s v="South"/>
    <n v="0.19109158266563281"/>
    <s v="Corporate"/>
    <x v="7"/>
  </r>
  <r>
    <n v="1090"/>
    <d v="2025-07-14T00:00:00"/>
    <n v="5021"/>
    <s v="Furniture"/>
    <n v="2200.1999999999998"/>
    <n v="8"/>
    <n v="137.66999999999999"/>
    <n v="0.05"/>
    <s v="South"/>
    <n v="6.2571584401418051E-2"/>
    <s v="Home Office"/>
    <x v="10"/>
  </r>
  <r>
    <n v="1091"/>
    <d v="2025-08-04T00:00:00"/>
    <n v="5017"/>
    <s v="Furniture"/>
    <n v="2328.0300000000002"/>
    <n v="6"/>
    <n v="278.35000000000002"/>
    <n v="0.15"/>
    <s v="South"/>
    <n v="0.11956461042168701"/>
    <s v="Corporate"/>
    <x v="2"/>
  </r>
  <r>
    <n v="1092"/>
    <d v="2025-06-29T00:00:00"/>
    <n v="5015"/>
    <s v="Office Supplies"/>
    <n v="2404.5"/>
    <n v="9"/>
    <n v="721.29"/>
    <n v="0"/>
    <s v="North"/>
    <n v="0.29997504678727382"/>
    <s v="Consumer"/>
    <x v="33"/>
  </r>
  <r>
    <n v="1093"/>
    <d v="2025-04-13T00:00:00"/>
    <n v="5002"/>
    <s v="Office Supplies"/>
    <n v="436.23"/>
    <n v="1"/>
    <n v="125.37"/>
    <n v="0"/>
    <s v="South"/>
    <n v="0.28739426449350114"/>
    <s v="Consumer"/>
    <x v="1"/>
  </r>
  <r>
    <n v="1094"/>
    <d v="2025-10-16T00:00:00"/>
    <n v="5014"/>
    <s v="Technology"/>
    <n v="846.67"/>
    <n v="3"/>
    <n v="184.04"/>
    <n v="0.15"/>
    <s v="North"/>
    <n v="0.21736922295581512"/>
    <s v="Home Office"/>
    <x v="11"/>
  </r>
  <r>
    <n v="1095"/>
    <d v="2025-02-28T00:00:00"/>
    <n v="5050"/>
    <s v="Furniture"/>
    <n v="3527.38"/>
    <n v="6"/>
    <n v="710.67"/>
    <n v="0.05"/>
    <s v="South"/>
    <n v="0.20147248099155746"/>
    <s v="Consumer"/>
    <x v="34"/>
  </r>
  <r>
    <n v="1096"/>
    <d v="2025-06-09T00:00:00"/>
    <n v="5037"/>
    <s v="Office Supplies"/>
    <n v="4827.13"/>
    <n v="2"/>
    <n v="272.33999999999997"/>
    <n v="0.2"/>
    <s v="South"/>
    <n v="5.6418617273618063E-2"/>
    <s v="Consumer"/>
    <x v="21"/>
  </r>
  <r>
    <n v="1097"/>
    <d v="2025-04-12T00:00:00"/>
    <n v="5005"/>
    <s v="Office Supplies"/>
    <n v="4549.33"/>
    <n v="7"/>
    <n v="1298.23"/>
    <n v="0.15"/>
    <s v="North"/>
    <n v="0.2853672958435638"/>
    <s v="Home Office"/>
    <x v="20"/>
  </r>
  <r>
    <n v="1098"/>
    <d v="2025-06-04T00:00:00"/>
    <n v="5044"/>
    <s v="Office Supplies"/>
    <n v="3484.01"/>
    <n v="4"/>
    <n v="781.46"/>
    <n v="0"/>
    <s v="South"/>
    <n v="0.22429901177091913"/>
    <s v="Home Office"/>
    <x v="15"/>
  </r>
  <r>
    <n v="1099"/>
    <d v="2025-08-08T00:00:00"/>
    <n v="5043"/>
    <s v="Technology"/>
    <n v="4047.09"/>
    <n v="10"/>
    <n v="553.65"/>
    <n v="0"/>
    <s v="South"/>
    <n v="0.13680199847297686"/>
    <s v="Corporate"/>
    <x v="18"/>
  </r>
  <r>
    <n v="1100"/>
    <d v="2025-09-08T00:00:00"/>
    <n v="5007"/>
    <s v="Technology"/>
    <n v="437.89"/>
    <n v="6"/>
    <n v="114.9"/>
    <n v="0"/>
    <s v="North"/>
    <n v="0.26239466532690858"/>
    <s v="Consumer"/>
    <x v="4"/>
  </r>
  <r>
    <m/>
    <m/>
    <m/>
    <m/>
    <m/>
    <m/>
    <m/>
    <m/>
    <m/>
    <m/>
    <m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E9" firstHeaderRow="1" firstDataRow="2" firstDataCol="1"/>
  <pivotFields count="11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showAll="0" defaultSubtotal="0">
      <items count="3">
        <item x="1"/>
        <item x="2"/>
        <item x="0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G9" firstHeaderRow="1" firstDataRow="2" firstDataCol="1"/>
  <pivotFields count="1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fit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7" firstHeaderRow="1" firstDataRow="1" firstDataCol="1"/>
  <pivotFields count="11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es" fld="4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20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>
      <items count="41">
        <item x="27"/>
        <item x="8"/>
        <item x="29"/>
        <item x="38"/>
        <item x="4"/>
        <item x="7"/>
        <item x="33"/>
        <item x="20"/>
        <item x="11"/>
        <item x="12"/>
        <item x="13"/>
        <item x="37"/>
        <item x="9"/>
        <item x="36"/>
        <item x="23"/>
        <item x="5"/>
        <item x="1"/>
        <item x="15"/>
        <item x="32"/>
        <item x="17"/>
        <item x="10"/>
        <item x="24"/>
        <item x="25"/>
        <item x="19"/>
        <item x="18"/>
        <item x="3"/>
        <item x="2"/>
        <item x="31"/>
        <item x="30"/>
        <item x="14"/>
        <item x="6"/>
        <item x="35"/>
        <item x="22"/>
        <item x="28"/>
        <item x="26"/>
        <item x="16"/>
        <item x="21"/>
        <item x="34"/>
        <item x="0"/>
        <item x="39"/>
        <item t="default"/>
      </items>
    </pivotField>
  </pivotFields>
  <rowFields count="1">
    <field x="11"/>
  </rowFields>
  <rowItems count="17">
    <i>
      <x v="4"/>
    </i>
    <i>
      <x v="5"/>
    </i>
    <i>
      <x v="6"/>
    </i>
    <i>
      <x v="7"/>
    </i>
    <i>
      <x v="8"/>
    </i>
    <i>
      <x v="12"/>
    </i>
    <i>
      <x v="15"/>
    </i>
    <i>
      <x v="16"/>
    </i>
    <i>
      <x v="17"/>
    </i>
    <i>
      <x v="24"/>
    </i>
    <i>
      <x v="25"/>
    </i>
    <i>
      <x v="29"/>
    </i>
    <i>
      <x v="30"/>
    </i>
    <i>
      <x v="32"/>
    </i>
    <i>
      <x v="36"/>
    </i>
    <i>
      <x v="38"/>
    </i>
    <i t="grand">
      <x/>
    </i>
  </rowItems>
  <colItems count="1">
    <i/>
  </colItems>
  <dataFields count="1">
    <dataField name="Count of Sales" fld="4" subtotal="count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9"/>
  <sheetViews>
    <sheetView workbookViewId="0">
      <selection activeCell="I2" sqref="I2"/>
    </sheetView>
  </sheetViews>
  <sheetFormatPr defaultRowHeight="14.4"/>
  <cols>
    <col min="1" max="1" width="12.5546875" customWidth="1"/>
    <col min="2" max="2" width="15.5546875" bestFit="1" customWidth="1"/>
    <col min="3" max="3" width="9.44140625" bestFit="1" customWidth="1"/>
    <col min="4" max="4" width="11.44140625" bestFit="1" customWidth="1"/>
    <col min="5" max="5" width="10.77734375" bestFit="1" customWidth="1"/>
    <col min="6" max="6" width="11.21875" customWidth="1"/>
    <col min="7" max="7" width="14.77734375" customWidth="1"/>
    <col min="8" max="8" width="13.77734375" customWidth="1"/>
    <col min="9" max="9" width="12.5546875" customWidth="1"/>
    <col min="10" max="10" width="13.5546875" customWidth="1"/>
    <col min="11" max="11" width="13.109375" customWidth="1"/>
    <col min="12" max="12" width="13.21875" customWidth="1"/>
    <col min="13" max="13" width="12.109375" customWidth="1"/>
    <col min="14" max="14" width="11" customWidth="1"/>
    <col min="15" max="15" width="11.88671875" customWidth="1"/>
    <col min="16" max="16" width="12.6640625" customWidth="1"/>
    <col min="17" max="17" width="11.44140625" customWidth="1"/>
    <col min="18" max="18" width="10.33203125" customWidth="1"/>
    <col min="19" max="19" width="13.109375" customWidth="1"/>
    <col min="20" max="20" width="12" customWidth="1"/>
    <col min="21" max="21" width="10.88671875" customWidth="1"/>
    <col min="22" max="22" width="10.77734375" customWidth="1"/>
    <col min="23" max="23" width="11.44140625" customWidth="1"/>
    <col min="24" max="24" width="10.5546875" customWidth="1"/>
    <col min="25" max="25" width="10.109375" customWidth="1"/>
    <col min="26" max="26" width="9.88671875" customWidth="1"/>
    <col min="27" max="27" width="12.21875" customWidth="1"/>
    <col min="28" max="28" width="11.77734375" customWidth="1"/>
    <col min="29" max="29" width="14.5546875" customWidth="1"/>
    <col min="30" max="30" width="12.77734375" customWidth="1"/>
    <col min="31" max="31" width="10.88671875" customWidth="1"/>
    <col min="32" max="32" width="13.5546875" customWidth="1"/>
    <col min="33" max="33" width="14.21875" customWidth="1"/>
    <col min="34" max="34" width="12.33203125" customWidth="1"/>
    <col min="35" max="35" width="13.33203125" customWidth="1"/>
    <col min="36" max="36" width="14.109375" customWidth="1"/>
    <col min="37" max="37" width="12.33203125" customWidth="1"/>
    <col min="38" max="38" width="13.109375" customWidth="1"/>
    <col min="39" max="39" width="13.77734375" customWidth="1"/>
    <col min="40" max="40" width="12.33203125" customWidth="1"/>
    <col min="41" max="41" width="10.77734375" customWidth="1"/>
    <col min="42" max="100" width="15.5546875" bestFit="1" customWidth="1"/>
    <col min="101" max="101" width="10.77734375" bestFit="1" customWidth="1"/>
  </cols>
  <sheetData>
    <row r="2" spans="1:5">
      <c r="A2" s="6" t="s">
        <v>89</v>
      </c>
    </row>
    <row r="3" spans="1:5">
      <c r="A3" s="3" t="s">
        <v>87</v>
      </c>
      <c r="B3" s="3" t="s">
        <v>88</v>
      </c>
    </row>
    <row r="4" spans="1:5">
      <c r="A4" s="3" t="s">
        <v>85</v>
      </c>
      <c r="B4" t="s">
        <v>19</v>
      </c>
      <c r="C4" t="s">
        <v>24</v>
      </c>
      <c r="D4" t="s">
        <v>16</v>
      </c>
      <c r="E4" t="s">
        <v>86</v>
      </c>
    </row>
    <row r="5" spans="1:5">
      <c r="A5" s="4" t="s">
        <v>27</v>
      </c>
      <c r="B5" s="5">
        <v>4198.1900000000005</v>
      </c>
      <c r="C5" s="5">
        <v>15907.189999999999</v>
      </c>
      <c r="D5" s="5">
        <v>8738.98</v>
      </c>
      <c r="E5" s="5">
        <v>28844.359999999997</v>
      </c>
    </row>
    <row r="6" spans="1:5">
      <c r="A6" s="4" t="s">
        <v>15</v>
      </c>
      <c r="B6" s="5">
        <v>40524.289999999994</v>
      </c>
      <c r="C6" s="5"/>
      <c r="D6" s="5">
        <v>48348.28</v>
      </c>
      <c r="E6" s="5">
        <v>88872.569999999992</v>
      </c>
    </row>
    <row r="7" spans="1:5">
      <c r="A7" s="4" t="s">
        <v>18</v>
      </c>
      <c r="B7" s="5">
        <v>68729.97</v>
      </c>
      <c r="C7" s="5">
        <v>37500.490000000005</v>
      </c>
      <c r="D7" s="5">
        <v>23567.78</v>
      </c>
      <c r="E7" s="5">
        <v>129798.24</v>
      </c>
    </row>
    <row r="8" spans="1:5">
      <c r="A8" s="4" t="s">
        <v>32</v>
      </c>
      <c r="B8" s="5">
        <v>4146.2199999999993</v>
      </c>
      <c r="C8" s="5">
        <v>4905.8500000000004</v>
      </c>
      <c r="D8" s="5">
        <v>5182.1000000000004</v>
      </c>
      <c r="E8" s="5">
        <v>14234.17</v>
      </c>
    </row>
    <row r="9" spans="1:5">
      <c r="A9" s="4" t="s">
        <v>86</v>
      </c>
      <c r="B9" s="5">
        <v>117598.67</v>
      </c>
      <c r="C9" s="5">
        <v>58313.530000000006</v>
      </c>
      <c r="D9" s="5">
        <v>85837.14</v>
      </c>
      <c r="E9" s="5">
        <v>261749.34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G9"/>
  <sheetViews>
    <sheetView workbookViewId="0">
      <selection activeCell="F14" sqref="F14"/>
    </sheetView>
  </sheetViews>
  <sheetFormatPr defaultRowHeight="14.4"/>
  <cols>
    <col min="1" max="1" width="13.5546875" bestFit="1" customWidth="1"/>
    <col min="2" max="2" width="15.5546875" bestFit="1" customWidth="1"/>
    <col min="3" max="3" width="5.88671875" customWidth="1"/>
    <col min="4" max="4" width="6" customWidth="1"/>
    <col min="5" max="5" width="5.21875" customWidth="1"/>
    <col min="6" max="6" width="7" customWidth="1"/>
    <col min="7" max="7" width="10.77734375" bestFit="1" customWidth="1"/>
  </cols>
  <sheetData>
    <row r="2" spans="1:7">
      <c r="A2" s="6" t="s">
        <v>92</v>
      </c>
    </row>
    <row r="3" spans="1:7">
      <c r="A3" s="3" t="s">
        <v>91</v>
      </c>
      <c r="B3" s="3" t="s">
        <v>88</v>
      </c>
    </row>
    <row r="4" spans="1:7">
      <c r="A4" s="3" t="s">
        <v>85</v>
      </c>
      <c r="B4" t="s">
        <v>27</v>
      </c>
      <c r="C4" t="s">
        <v>15</v>
      </c>
      <c r="D4" t="s">
        <v>18</v>
      </c>
      <c r="E4" t="s">
        <v>32</v>
      </c>
      <c r="F4" t="s">
        <v>90</v>
      </c>
      <c r="G4" t="s">
        <v>86</v>
      </c>
    </row>
    <row r="5" spans="1:7">
      <c r="A5" s="4" t="s">
        <v>8</v>
      </c>
      <c r="B5" s="5">
        <v>5</v>
      </c>
      <c r="C5" s="5">
        <v>12</v>
      </c>
      <c r="D5" s="5">
        <v>17</v>
      </c>
      <c r="E5" s="5">
        <v>2</v>
      </c>
      <c r="F5" s="5"/>
      <c r="G5" s="5">
        <v>36</v>
      </c>
    </row>
    <row r="6" spans="1:7">
      <c r="A6" s="4" t="s">
        <v>9</v>
      </c>
      <c r="B6" s="5">
        <v>3</v>
      </c>
      <c r="C6" s="5">
        <v>11</v>
      </c>
      <c r="D6" s="5">
        <v>14</v>
      </c>
      <c r="E6" s="5">
        <v>4</v>
      </c>
      <c r="F6" s="5"/>
      <c r="G6" s="5">
        <v>32</v>
      </c>
    </row>
    <row r="7" spans="1:7">
      <c r="A7" s="4" t="s">
        <v>10</v>
      </c>
      <c r="B7" s="5">
        <v>7</v>
      </c>
      <c r="C7" s="5">
        <v>10</v>
      </c>
      <c r="D7" s="5">
        <v>14</v>
      </c>
      <c r="E7" s="5">
        <v>1</v>
      </c>
      <c r="F7" s="5"/>
      <c r="G7" s="5">
        <v>32</v>
      </c>
    </row>
    <row r="8" spans="1:7">
      <c r="A8" s="4" t="s">
        <v>90</v>
      </c>
      <c r="B8" s="5"/>
      <c r="C8" s="5"/>
      <c r="D8" s="5"/>
      <c r="E8" s="5"/>
      <c r="F8" s="5"/>
      <c r="G8" s="5"/>
    </row>
    <row r="9" spans="1:7">
      <c r="A9" s="4" t="s">
        <v>86</v>
      </c>
      <c r="B9" s="5">
        <v>15</v>
      </c>
      <c r="C9" s="5">
        <v>33</v>
      </c>
      <c r="D9" s="5">
        <v>45</v>
      </c>
      <c r="E9" s="5">
        <v>7</v>
      </c>
      <c r="F9" s="5"/>
      <c r="G9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7"/>
  <sheetViews>
    <sheetView workbookViewId="0">
      <selection activeCell="C2" sqref="C2"/>
    </sheetView>
  </sheetViews>
  <sheetFormatPr defaultRowHeight="14.4"/>
  <cols>
    <col min="1" max="1" width="12.5546875" bestFit="1" customWidth="1"/>
    <col min="2" max="2" width="13.109375" bestFit="1" customWidth="1"/>
  </cols>
  <sheetData>
    <row r="2" spans="1:2">
      <c r="A2" s="6" t="s">
        <v>106</v>
      </c>
    </row>
    <row r="3" spans="1:2">
      <c r="A3" s="3" t="s">
        <v>85</v>
      </c>
      <c r="B3" t="s">
        <v>93</v>
      </c>
    </row>
    <row r="4" spans="1:2">
      <c r="A4" s="4" t="s">
        <v>90</v>
      </c>
      <c r="B4" s="5"/>
    </row>
    <row r="5" spans="1:2">
      <c r="A5" s="4" t="s">
        <v>94</v>
      </c>
      <c r="B5" s="5">
        <v>8</v>
      </c>
    </row>
    <row r="6" spans="1:2">
      <c r="A6" s="4" t="s">
        <v>95</v>
      </c>
      <c r="B6" s="5">
        <v>7</v>
      </c>
    </row>
    <row r="7" spans="1:2">
      <c r="A7" s="4" t="s">
        <v>96</v>
      </c>
      <c r="B7" s="5">
        <v>10</v>
      </c>
    </row>
    <row r="8" spans="1:2">
      <c r="A8" s="4" t="s">
        <v>97</v>
      </c>
      <c r="B8" s="5">
        <v>10</v>
      </c>
    </row>
    <row r="9" spans="1:2">
      <c r="A9" s="4" t="s">
        <v>98</v>
      </c>
      <c r="B9" s="5">
        <v>11</v>
      </c>
    </row>
    <row r="10" spans="1:2">
      <c r="A10" s="4" t="s">
        <v>99</v>
      </c>
      <c r="B10" s="5">
        <v>10</v>
      </c>
    </row>
    <row r="11" spans="1:2">
      <c r="A11" s="4" t="s">
        <v>100</v>
      </c>
      <c r="B11" s="5">
        <v>10</v>
      </c>
    </row>
    <row r="12" spans="1:2">
      <c r="A12" s="4" t="s">
        <v>101</v>
      </c>
      <c r="B12" s="5">
        <v>7</v>
      </c>
    </row>
    <row r="13" spans="1:2">
      <c r="A13" s="4" t="s">
        <v>102</v>
      </c>
      <c r="B13" s="5">
        <v>6</v>
      </c>
    </row>
    <row r="14" spans="1:2">
      <c r="A14" s="4" t="s">
        <v>103</v>
      </c>
      <c r="B14" s="5">
        <v>11</v>
      </c>
    </row>
    <row r="15" spans="1:2">
      <c r="A15" s="4" t="s">
        <v>104</v>
      </c>
      <c r="B15" s="5">
        <v>5</v>
      </c>
    </row>
    <row r="16" spans="1:2">
      <c r="A16" s="4" t="s">
        <v>105</v>
      </c>
      <c r="B16" s="5">
        <v>5</v>
      </c>
    </row>
    <row r="17" spans="1:2">
      <c r="A17" s="4" t="s">
        <v>86</v>
      </c>
      <c r="B17" s="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20"/>
  <sheetViews>
    <sheetView workbookViewId="0">
      <selection activeCell="C7" sqref="C7"/>
    </sheetView>
  </sheetViews>
  <sheetFormatPr defaultRowHeight="14.4"/>
  <cols>
    <col min="1" max="1" width="14.109375" bestFit="1" customWidth="1"/>
    <col min="2" max="2" width="13.109375" bestFit="1" customWidth="1"/>
  </cols>
  <sheetData>
    <row r="2" spans="1:2">
      <c r="A2" s="6" t="s">
        <v>108</v>
      </c>
    </row>
    <row r="3" spans="1:2">
      <c r="A3" s="3" t="s">
        <v>85</v>
      </c>
      <c r="B3" t="s">
        <v>93</v>
      </c>
    </row>
    <row r="4" spans="1:2">
      <c r="A4" s="4" t="s">
        <v>25</v>
      </c>
      <c r="B4" s="5">
        <v>5</v>
      </c>
    </row>
    <row r="5" spans="1:2">
      <c r="A5" s="4" t="s">
        <v>23</v>
      </c>
      <c r="B5" s="5">
        <v>4</v>
      </c>
    </row>
    <row r="6" spans="1:2">
      <c r="A6" s="4" t="s">
        <v>35</v>
      </c>
      <c r="B6" s="5">
        <v>3</v>
      </c>
    </row>
    <row r="7" spans="1:2">
      <c r="A7" s="4" t="s">
        <v>22</v>
      </c>
      <c r="B7" s="5">
        <v>4</v>
      </c>
    </row>
    <row r="8" spans="1:2">
      <c r="A8" s="4" t="s">
        <v>34</v>
      </c>
      <c r="B8" s="5">
        <v>3</v>
      </c>
    </row>
    <row r="9" spans="1:2">
      <c r="A9" s="4" t="s">
        <v>38</v>
      </c>
      <c r="B9" s="5">
        <v>3</v>
      </c>
    </row>
    <row r="10" spans="1:2">
      <c r="A10" s="4" t="s">
        <v>31</v>
      </c>
      <c r="B10" s="5">
        <v>5</v>
      </c>
    </row>
    <row r="11" spans="1:2">
      <c r="A11" s="4" t="s">
        <v>17</v>
      </c>
      <c r="B11" s="5">
        <v>3</v>
      </c>
    </row>
    <row r="12" spans="1:2">
      <c r="A12" s="4" t="s">
        <v>58</v>
      </c>
      <c r="B12" s="5">
        <v>4</v>
      </c>
    </row>
    <row r="13" spans="1:2">
      <c r="A13" s="4" t="s">
        <v>57</v>
      </c>
      <c r="B13" s="5">
        <v>7</v>
      </c>
    </row>
    <row r="14" spans="1:2">
      <c r="A14" s="4" t="s">
        <v>14</v>
      </c>
      <c r="B14" s="5">
        <v>5</v>
      </c>
    </row>
    <row r="15" spans="1:2">
      <c r="A15" s="4" t="s">
        <v>56</v>
      </c>
      <c r="B15" s="5">
        <v>3</v>
      </c>
    </row>
    <row r="16" spans="1:2">
      <c r="A16" s="4" t="s">
        <v>30</v>
      </c>
      <c r="B16" s="5">
        <v>6</v>
      </c>
    </row>
    <row r="17" spans="1:2">
      <c r="A17" s="4" t="s">
        <v>37</v>
      </c>
      <c r="B17" s="5">
        <v>3</v>
      </c>
    </row>
    <row r="18" spans="1:2">
      <c r="A18" s="4" t="s">
        <v>54</v>
      </c>
      <c r="B18" s="5">
        <v>4</v>
      </c>
    </row>
    <row r="19" spans="1:2">
      <c r="A19" s="4" t="s">
        <v>59</v>
      </c>
      <c r="B19" s="5">
        <v>3</v>
      </c>
    </row>
    <row r="20" spans="1:2">
      <c r="A20" s="4" t="s">
        <v>86</v>
      </c>
      <c r="B20" s="5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101"/>
  <sheetViews>
    <sheetView tabSelected="1" workbookViewId="0">
      <selection activeCell="N100" sqref="N100"/>
    </sheetView>
  </sheetViews>
  <sheetFormatPr defaultRowHeight="14.4"/>
  <cols>
    <col min="1" max="1" width="10" customWidth="1"/>
    <col min="2" max="2" width="16" customWidth="1"/>
    <col min="3" max="3" width="11.5546875" customWidth="1"/>
    <col min="4" max="4" width="15.21875" customWidth="1"/>
    <col min="5" max="5" width="13" customWidth="1"/>
    <col min="7" max="7" width="18.5546875" customWidth="1"/>
    <col min="8" max="8" width="11.6640625" customWidth="1"/>
    <col min="9" max="9" width="8.21875" customWidth="1"/>
    <col min="10" max="10" width="18.21875" customWidth="1"/>
    <col min="11" max="11" width="15.5546875" bestFit="1" customWidth="1"/>
    <col min="12" max="12" width="16.44140625" customWidth="1"/>
    <col min="13" max="13" width="15.5546875" bestFit="1" customWidth="1"/>
    <col min="14" max="14" width="5.88671875" customWidth="1"/>
    <col min="15" max="15" width="6" customWidth="1"/>
    <col min="16" max="16" width="5.21875" customWidth="1"/>
    <col min="17" max="17" width="7" customWidth="1"/>
    <col min="18" max="18" width="10.77734375" customWidth="1"/>
    <col min="19" max="19" width="13.5546875" bestFit="1" customWidth="1"/>
    <col min="20" max="20" width="13.109375" bestFit="1" customWidth="1"/>
    <col min="21" max="21" width="13.21875" bestFit="1" customWidth="1"/>
    <col min="22" max="22" width="12.109375" bestFit="1" customWidth="1"/>
    <col min="23" max="23" width="11" bestFit="1" customWidth="1"/>
    <col min="24" max="24" width="11.88671875" bestFit="1" customWidth="1"/>
    <col min="25" max="25" width="12.6640625" bestFit="1" customWidth="1"/>
    <col min="26" max="26" width="11.44140625" bestFit="1" customWidth="1"/>
    <col min="27" max="27" width="10.33203125" bestFit="1" customWidth="1"/>
    <col min="28" max="28" width="13.109375" bestFit="1" customWidth="1"/>
    <col min="29" max="29" width="12" bestFit="1" customWidth="1"/>
    <col min="30" max="30" width="10.88671875" bestFit="1" customWidth="1"/>
    <col min="31" max="31" width="10.77734375" bestFit="1" customWidth="1"/>
    <col min="32" max="32" width="11.44140625" bestFit="1" customWidth="1"/>
    <col min="33" max="33" width="10.5546875" bestFit="1" customWidth="1"/>
    <col min="34" max="34" width="10.109375" bestFit="1" customWidth="1"/>
    <col min="35" max="35" width="9.88671875" bestFit="1" customWidth="1"/>
    <col min="36" max="36" width="12.21875" bestFit="1" customWidth="1"/>
    <col min="37" max="37" width="11.77734375" bestFit="1" customWidth="1"/>
    <col min="38" max="38" width="14.5546875" bestFit="1" customWidth="1"/>
    <col min="39" max="39" width="12.77734375" bestFit="1" customWidth="1"/>
    <col min="40" max="40" width="10.88671875" bestFit="1" customWidth="1"/>
    <col min="41" max="41" width="13.5546875" bestFit="1" customWidth="1"/>
    <col min="42" max="42" width="14.21875" bestFit="1" customWidth="1"/>
    <col min="43" max="43" width="12.33203125" bestFit="1" customWidth="1"/>
    <col min="44" max="44" width="13.33203125" bestFit="1" customWidth="1"/>
    <col min="45" max="45" width="14.109375" bestFit="1" customWidth="1"/>
    <col min="46" max="46" width="12.33203125" bestFit="1" customWidth="1"/>
    <col min="47" max="47" width="13.109375" bestFit="1" customWidth="1"/>
    <col min="48" max="48" width="13.77734375" bestFit="1" customWidth="1"/>
    <col min="49" max="49" width="12.33203125" bestFit="1" customWidth="1"/>
    <col min="50" max="50" width="7" customWidth="1"/>
    <col min="51" max="51" width="10.7773437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84</v>
      </c>
      <c r="K1" t="s">
        <v>13</v>
      </c>
      <c r="L1" t="s">
        <v>107</v>
      </c>
      <c r="M1" t="s">
        <v>109</v>
      </c>
    </row>
    <row r="2" spans="1:51">
      <c r="A2">
        <v>1001</v>
      </c>
      <c r="B2" s="1">
        <v>45729</v>
      </c>
      <c r="C2">
        <v>5048</v>
      </c>
      <c r="D2" t="s">
        <v>8</v>
      </c>
      <c r="E2">
        <v>3233.19</v>
      </c>
      <c r="F2">
        <v>1</v>
      </c>
      <c r="G2">
        <v>359.6</v>
      </c>
      <c r="H2">
        <v>0.1</v>
      </c>
      <c r="I2" t="str">
        <f>VLOOKUP(C2, customer_dataset!A:C, 3, FALSE)</f>
        <v>North</v>
      </c>
      <c r="J2">
        <f>G2/E2</f>
        <v>0.11122142527967735</v>
      </c>
      <c r="K2" t="str">
        <f>VLOOKUP(C2, customer_dataset!A:D, 4, FALSE)</f>
        <v>Home Office</v>
      </c>
      <c r="L2" t="str">
        <f>VLOOKUP(C2, customer_dataset!A:B, 2, FALSE)</f>
        <v>Vivaan Yadav</v>
      </c>
      <c r="M2">
        <f>IF(F2=0, 0, G2/F2)</f>
        <v>359.6</v>
      </c>
    </row>
    <row r="3" spans="1:51">
      <c r="A3">
        <v>1002</v>
      </c>
      <c r="B3" s="1">
        <v>45674</v>
      </c>
      <c r="C3">
        <v>5002</v>
      </c>
      <c r="D3" t="s">
        <v>8</v>
      </c>
      <c r="E3">
        <v>3415.83</v>
      </c>
      <c r="F3">
        <v>9</v>
      </c>
      <c r="G3">
        <v>675.05</v>
      </c>
      <c r="H3">
        <v>0</v>
      </c>
      <c r="I3" t="str">
        <f>VLOOKUP(C3, customer_dataset!A:C, 3, FALSE)</f>
        <v>South</v>
      </c>
      <c r="J3">
        <f t="shared" ref="J3:J66" si="0">G3/E3</f>
        <v>0.19762400353647575</v>
      </c>
      <c r="K3" t="str">
        <f>VLOOKUP(C3, customer_dataset!A:D, 4, FALSE)</f>
        <v>Consumer</v>
      </c>
      <c r="L3" t="str">
        <f>VLOOKUP(C3, customer_dataset!A:B, 2, FALSE)</f>
        <v>Priya Singh</v>
      </c>
      <c r="M3">
        <f t="shared" ref="M3:M66" si="1">IF(F3=0, 0, G3/F3)</f>
        <v>75.005555555555546</v>
      </c>
    </row>
    <row r="4" spans="1:51">
      <c r="A4">
        <v>1003</v>
      </c>
      <c r="B4" s="1">
        <v>45759</v>
      </c>
      <c r="C4">
        <v>5046</v>
      </c>
      <c r="D4" t="s">
        <v>9</v>
      </c>
      <c r="E4">
        <v>1171.33</v>
      </c>
      <c r="F4">
        <v>9</v>
      </c>
      <c r="G4">
        <v>66.34</v>
      </c>
      <c r="H4">
        <v>0.2</v>
      </c>
      <c r="I4" t="str">
        <f>VLOOKUP(C4, customer_dataset!A:C, 3, FALSE)</f>
        <v>West</v>
      </c>
      <c r="J4">
        <f t="shared" si="0"/>
        <v>5.6636473069075328E-2</v>
      </c>
      <c r="K4" t="str">
        <f>VLOOKUP(C4, customer_dataset!A:D, 4, FALSE)</f>
        <v>Home Office</v>
      </c>
      <c r="L4" t="str">
        <f>VLOOKUP(C4, customer_dataset!A:B, 2, FALSE)</f>
        <v>Sneha Yadav</v>
      </c>
      <c r="M4">
        <f t="shared" si="1"/>
        <v>7.3711111111111114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>
        <v>1004</v>
      </c>
      <c r="B5" s="1">
        <v>45800</v>
      </c>
      <c r="C5">
        <v>5001</v>
      </c>
      <c r="D5" t="s">
        <v>8</v>
      </c>
      <c r="E5">
        <v>3536.49</v>
      </c>
      <c r="F5">
        <v>7</v>
      </c>
      <c r="G5">
        <v>573.98</v>
      </c>
      <c r="H5">
        <v>0.05</v>
      </c>
      <c r="I5" t="str">
        <f>VLOOKUP(C5, customer_dataset!A:C, 3, FALSE)</f>
        <v>North</v>
      </c>
      <c r="J5">
        <f t="shared" si="0"/>
        <v>0.16230216966540273</v>
      </c>
      <c r="K5" t="str">
        <f>VLOOKUP(C5, customer_dataset!A:D, 4, FALSE)</f>
        <v>Home Office</v>
      </c>
      <c r="L5" t="str">
        <f>VLOOKUP(C5, customer_dataset!A:B, 2, FALSE)</f>
        <v>Sneha Verma</v>
      </c>
      <c r="M5">
        <f t="shared" si="1"/>
        <v>81.997142857142862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>
        <v>1005</v>
      </c>
      <c r="B6" s="1">
        <v>45830</v>
      </c>
      <c r="C6">
        <v>5007</v>
      </c>
      <c r="D6" t="s">
        <v>8</v>
      </c>
      <c r="E6">
        <v>3520.88</v>
      </c>
      <c r="F6">
        <v>6</v>
      </c>
      <c r="G6">
        <v>312.89999999999998</v>
      </c>
      <c r="H6">
        <v>0.1</v>
      </c>
      <c r="I6" t="str">
        <f>VLOOKUP(C6, customer_dataset!A:C, 3, FALSE)</f>
        <v>North</v>
      </c>
      <c r="J6">
        <f t="shared" si="0"/>
        <v>8.8869827997546058E-2</v>
      </c>
      <c r="K6" t="str">
        <f>VLOOKUP(C6, customer_dataset!A:D, 4, FALSE)</f>
        <v>Consumer</v>
      </c>
      <c r="L6" t="str">
        <f>VLOOKUP(C6, customer_dataset!A:B, 2, FALSE)</f>
        <v>Amit Mishra</v>
      </c>
      <c r="M6">
        <f t="shared" si="1"/>
        <v>52.15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>
        <v>1006</v>
      </c>
      <c r="B7" s="1">
        <v>45680</v>
      </c>
      <c r="C7">
        <v>5047</v>
      </c>
      <c r="D7" t="s">
        <v>10</v>
      </c>
      <c r="E7">
        <v>1961.64</v>
      </c>
      <c r="F7">
        <v>6</v>
      </c>
      <c r="G7">
        <v>394.16</v>
      </c>
      <c r="H7">
        <v>0.1</v>
      </c>
      <c r="I7" t="str">
        <f>VLOOKUP(C7, customer_dataset!A:C, 3, FALSE)</f>
        <v>South</v>
      </c>
      <c r="J7">
        <f t="shared" si="0"/>
        <v>0.20093391244061093</v>
      </c>
      <c r="K7" t="str">
        <f>VLOOKUP(C7, customer_dataset!A:D, 4, FALSE)</f>
        <v>Consumer</v>
      </c>
      <c r="L7" t="str">
        <f>VLOOKUP(C7, customer_dataset!A:B, 2, FALSE)</f>
        <v>Neha Verma</v>
      </c>
      <c r="M7">
        <f t="shared" si="1"/>
        <v>65.693333333333342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>
        <v>1007</v>
      </c>
      <c r="B8" s="1">
        <v>45979</v>
      </c>
      <c r="C8">
        <v>5040</v>
      </c>
      <c r="D8" t="s">
        <v>10</v>
      </c>
      <c r="E8">
        <v>2727.52</v>
      </c>
      <c r="F8">
        <v>7</v>
      </c>
      <c r="G8">
        <v>512.79999999999995</v>
      </c>
      <c r="H8">
        <v>0</v>
      </c>
      <c r="I8" t="str">
        <f>VLOOKUP(C8, customer_dataset!A:C, 3, FALSE)</f>
        <v>South</v>
      </c>
      <c r="J8">
        <f t="shared" si="0"/>
        <v>0.18800962046107819</v>
      </c>
      <c r="K8" t="str">
        <f>VLOOKUP(C8, customer_dataset!A:D, 4, FALSE)</f>
        <v>Consumer</v>
      </c>
      <c r="L8" t="str">
        <f>VLOOKUP(C8, customer_dataset!A:B, 2, FALSE)</f>
        <v>Vidushi Mishra</v>
      </c>
      <c r="M8">
        <f t="shared" si="1"/>
        <v>73.257142857142853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>
        <v>1008</v>
      </c>
      <c r="B9" s="1">
        <v>45806</v>
      </c>
      <c r="C9">
        <v>5006</v>
      </c>
      <c r="D9" t="s">
        <v>8</v>
      </c>
      <c r="E9">
        <v>2929.03</v>
      </c>
      <c r="F9">
        <v>2</v>
      </c>
      <c r="G9">
        <v>630.66999999999996</v>
      </c>
      <c r="H9">
        <v>0</v>
      </c>
      <c r="I9" t="str">
        <f>VLOOKUP(C9, customer_dataset!A:C, 3, FALSE)</f>
        <v>South</v>
      </c>
      <c r="J9">
        <f t="shared" si="0"/>
        <v>0.21531701621355873</v>
      </c>
      <c r="K9" t="str">
        <f>VLOOKUP(C9, customer_dataset!A:D, 4, FALSE)</f>
        <v>Corporate</v>
      </c>
      <c r="L9" t="str">
        <f>VLOOKUP(C9, customer_dataset!A:B, 2, FALSE)</f>
        <v>Ananya Agarwal</v>
      </c>
      <c r="M9">
        <f t="shared" si="1"/>
        <v>315.33499999999998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>
        <v>1009</v>
      </c>
      <c r="B10" s="1">
        <v>45844</v>
      </c>
      <c r="C10">
        <v>5011</v>
      </c>
      <c r="D10" t="s">
        <v>10</v>
      </c>
      <c r="E10">
        <v>4345.7700000000004</v>
      </c>
      <c r="F10">
        <v>7</v>
      </c>
      <c r="G10">
        <v>709.89</v>
      </c>
      <c r="H10">
        <v>0.1</v>
      </c>
      <c r="I10" t="str">
        <f>VLOOKUP(C10, customer_dataset!A:C, 3, FALSE)</f>
        <v>North</v>
      </c>
      <c r="J10">
        <f t="shared" si="0"/>
        <v>0.16335194913674675</v>
      </c>
      <c r="K10" t="str">
        <f>VLOOKUP(C10, customer_dataset!A:D, 4, FALSE)</f>
        <v>Home Office</v>
      </c>
      <c r="L10" t="str">
        <f>VLOOKUP(C10, customer_dataset!A:B, 2, FALSE)</f>
        <v>Vidushi Mishra</v>
      </c>
      <c r="M10">
        <f t="shared" si="1"/>
        <v>101.41285714285713</v>
      </c>
    </row>
    <row r="11" spans="1:51">
      <c r="A11">
        <v>1010</v>
      </c>
      <c r="B11" s="1">
        <v>45745</v>
      </c>
      <c r="C11">
        <v>5035</v>
      </c>
      <c r="D11" t="s">
        <v>9</v>
      </c>
      <c r="E11">
        <v>1840.83</v>
      </c>
      <c r="F11">
        <v>5</v>
      </c>
      <c r="G11">
        <v>372.37</v>
      </c>
      <c r="H11">
        <v>0</v>
      </c>
      <c r="I11" t="str">
        <f>VLOOKUP(C11, customer_dataset!A:C, 3, FALSE)</f>
        <v>North</v>
      </c>
      <c r="J11">
        <f t="shared" si="0"/>
        <v>0.20228375243775906</v>
      </c>
      <c r="K11" t="str">
        <f>VLOOKUP(C11, customer_dataset!A:D, 4, FALSE)</f>
        <v>Home Office</v>
      </c>
      <c r="L11" t="str">
        <f>VLOOKUP(C11, customer_dataset!A:B, 2, FALSE)</f>
        <v>Aditya Jain</v>
      </c>
      <c r="M11">
        <f t="shared" si="1"/>
        <v>74.474000000000004</v>
      </c>
    </row>
    <row r="12" spans="1:51">
      <c r="A12">
        <v>1011</v>
      </c>
      <c r="B12" s="1">
        <v>45985</v>
      </c>
      <c r="C12">
        <v>5045</v>
      </c>
      <c r="D12" t="s">
        <v>9</v>
      </c>
      <c r="E12">
        <v>1299.57</v>
      </c>
      <c r="F12">
        <v>8</v>
      </c>
      <c r="G12">
        <v>152.68</v>
      </c>
      <c r="H12">
        <v>0.15</v>
      </c>
      <c r="I12" t="str">
        <f>VLOOKUP(C12, customer_dataset!A:C, 3, FALSE)</f>
        <v>East</v>
      </c>
      <c r="J12">
        <f t="shared" si="0"/>
        <v>0.11748501427395217</v>
      </c>
      <c r="K12" t="str">
        <f>VLOOKUP(C12, customer_dataset!A:D, 4, FALSE)</f>
        <v>Corporate</v>
      </c>
      <c r="L12" t="str">
        <f>VLOOKUP(C12, customer_dataset!A:B, 2, FALSE)</f>
        <v>Karan Singh</v>
      </c>
      <c r="M12">
        <f t="shared" si="1"/>
        <v>19.085000000000001</v>
      </c>
    </row>
    <row r="13" spans="1:51">
      <c r="A13">
        <v>1012</v>
      </c>
      <c r="B13" s="1">
        <v>45674</v>
      </c>
      <c r="C13">
        <v>5021</v>
      </c>
      <c r="D13" t="s">
        <v>10</v>
      </c>
      <c r="E13">
        <v>1176.1099999999999</v>
      </c>
      <c r="F13">
        <v>6</v>
      </c>
      <c r="G13">
        <v>126.15</v>
      </c>
      <c r="H13">
        <v>0</v>
      </c>
      <c r="I13" t="str">
        <f>VLOOKUP(C13, customer_dataset!A:C, 3, FALSE)</f>
        <v>South</v>
      </c>
      <c r="J13">
        <f t="shared" si="0"/>
        <v>0.10726037530503101</v>
      </c>
      <c r="K13" t="str">
        <f>VLOOKUP(C13, customer_dataset!A:D, 4, FALSE)</f>
        <v>Home Office</v>
      </c>
      <c r="L13" t="str">
        <f>VLOOKUP(C13, customer_dataset!A:B, 2, FALSE)</f>
        <v>Riya Mishra</v>
      </c>
      <c r="M13">
        <f t="shared" si="1"/>
        <v>21.025000000000002</v>
      </c>
    </row>
    <row r="14" spans="1:51">
      <c r="A14">
        <v>1013</v>
      </c>
      <c r="B14" s="1">
        <v>45819</v>
      </c>
      <c r="C14">
        <v>5014</v>
      </c>
      <c r="D14" t="s">
        <v>9</v>
      </c>
      <c r="E14">
        <v>1411.93</v>
      </c>
      <c r="F14">
        <v>4</v>
      </c>
      <c r="G14">
        <v>379.94</v>
      </c>
      <c r="H14">
        <v>0.2</v>
      </c>
      <c r="I14" t="str">
        <f>VLOOKUP(C14, customer_dataset!A:C, 3, FALSE)</f>
        <v>North</v>
      </c>
      <c r="J14">
        <f t="shared" si="0"/>
        <v>0.26909266040101137</v>
      </c>
      <c r="K14" t="str">
        <f>VLOOKUP(C14, customer_dataset!A:D, 4, FALSE)</f>
        <v>Home Office</v>
      </c>
      <c r="L14" t="str">
        <f>VLOOKUP(C14, customer_dataset!A:B, 2, FALSE)</f>
        <v>Ananya Verma</v>
      </c>
      <c r="M14">
        <f t="shared" si="1"/>
        <v>94.984999999999999</v>
      </c>
    </row>
    <row r="15" spans="1:51">
      <c r="A15">
        <v>1014</v>
      </c>
      <c r="B15" s="1">
        <v>45784</v>
      </c>
      <c r="C15">
        <v>5048</v>
      </c>
      <c r="D15" t="s">
        <v>9</v>
      </c>
      <c r="E15">
        <v>2546.23</v>
      </c>
      <c r="F15">
        <v>8</v>
      </c>
      <c r="G15">
        <v>295.92</v>
      </c>
      <c r="H15">
        <v>0.05</v>
      </c>
      <c r="I15" t="str">
        <f>VLOOKUP(C15, customer_dataset!A:C, 3, FALSE)</f>
        <v>North</v>
      </c>
      <c r="J15">
        <f t="shared" si="0"/>
        <v>0.11621888046248768</v>
      </c>
      <c r="K15" t="str">
        <f>VLOOKUP(C15, customer_dataset!A:D, 4, FALSE)</f>
        <v>Home Office</v>
      </c>
      <c r="L15" t="str">
        <f>VLOOKUP(C15, customer_dataset!A:B, 2, FALSE)</f>
        <v>Vivaan Yadav</v>
      </c>
      <c r="M15">
        <f t="shared" si="1"/>
        <v>36.99</v>
      </c>
    </row>
    <row r="16" spans="1:51">
      <c r="A16">
        <v>1015</v>
      </c>
      <c r="B16" s="1">
        <v>45862</v>
      </c>
      <c r="C16">
        <v>5024</v>
      </c>
      <c r="D16" t="s">
        <v>8</v>
      </c>
      <c r="E16">
        <v>2740.99</v>
      </c>
      <c r="F16">
        <v>10</v>
      </c>
      <c r="G16">
        <v>752.28</v>
      </c>
      <c r="H16">
        <v>0.15</v>
      </c>
      <c r="I16" t="str">
        <f>VLOOKUP(C16, customer_dataset!A:C, 3, FALSE)</f>
        <v>South</v>
      </c>
      <c r="J16">
        <f t="shared" si="0"/>
        <v>0.27445557991820474</v>
      </c>
      <c r="K16" t="str">
        <f>VLOOKUP(C16, customer_dataset!A:D, 4, FALSE)</f>
        <v>Home Office</v>
      </c>
      <c r="L16" t="str">
        <f>VLOOKUP(C16, customer_dataset!A:B, 2, FALSE)</f>
        <v>Ananya Yadav</v>
      </c>
      <c r="M16">
        <f t="shared" si="1"/>
        <v>75.227999999999994</v>
      </c>
    </row>
    <row r="17" spans="1:13">
      <c r="A17">
        <v>1016</v>
      </c>
      <c r="B17" s="1">
        <v>45682</v>
      </c>
      <c r="C17">
        <v>5008</v>
      </c>
      <c r="D17" t="s">
        <v>8</v>
      </c>
      <c r="E17">
        <v>4986.8999999999996</v>
      </c>
      <c r="F17">
        <v>3</v>
      </c>
      <c r="G17">
        <v>864.62</v>
      </c>
      <c r="H17">
        <v>0.2</v>
      </c>
      <c r="I17" t="str">
        <f>VLOOKUP(C17, customer_dataset!A:C, 3, FALSE)</f>
        <v>East</v>
      </c>
      <c r="J17">
        <f t="shared" si="0"/>
        <v>0.1733782510176663</v>
      </c>
      <c r="K17" t="str">
        <f>VLOOKUP(C17, customer_dataset!A:D, 4, FALSE)</f>
        <v>Corporate</v>
      </c>
      <c r="L17" t="str">
        <f>VLOOKUP(C17, customer_dataset!A:B, 2, FALSE)</f>
        <v>Karan Agarwal</v>
      </c>
      <c r="M17">
        <f t="shared" si="1"/>
        <v>288.20666666666665</v>
      </c>
    </row>
    <row r="18" spans="1:13">
      <c r="A18">
        <v>1017</v>
      </c>
      <c r="B18" s="1">
        <v>45853</v>
      </c>
      <c r="C18">
        <v>5039</v>
      </c>
      <c r="D18" t="s">
        <v>10</v>
      </c>
      <c r="E18">
        <v>3174.49</v>
      </c>
      <c r="F18">
        <v>7</v>
      </c>
      <c r="G18">
        <v>209.14</v>
      </c>
      <c r="H18">
        <v>0.2</v>
      </c>
      <c r="I18" t="str">
        <f>VLOOKUP(C18, customer_dataset!A:C, 3, FALSE)</f>
        <v>North</v>
      </c>
      <c r="J18">
        <f t="shared" si="0"/>
        <v>6.5881448673645218E-2</v>
      </c>
      <c r="K18" t="str">
        <f>VLOOKUP(C18, customer_dataset!A:D, 4, FALSE)</f>
        <v>Consumer</v>
      </c>
      <c r="L18" t="str">
        <f>VLOOKUP(C18, customer_dataset!A:B, 2, FALSE)</f>
        <v>Vidushi Jain</v>
      </c>
      <c r="M18">
        <f t="shared" si="1"/>
        <v>29.877142857142854</v>
      </c>
    </row>
    <row r="19" spans="1:13">
      <c r="A19">
        <v>1018</v>
      </c>
      <c r="B19" s="1">
        <v>45716</v>
      </c>
      <c r="C19">
        <v>5044</v>
      </c>
      <c r="D19" t="s">
        <v>9</v>
      </c>
      <c r="E19">
        <v>2692.66</v>
      </c>
      <c r="F19">
        <v>9</v>
      </c>
      <c r="G19">
        <v>592.58000000000004</v>
      </c>
      <c r="H19">
        <v>0</v>
      </c>
      <c r="I19" t="str">
        <f>VLOOKUP(C19, customer_dataset!A:C, 3, FALSE)</f>
        <v>South</v>
      </c>
      <c r="J19">
        <f t="shared" si="0"/>
        <v>0.22007234481887802</v>
      </c>
      <c r="K19" t="str">
        <f>VLOOKUP(C19, customer_dataset!A:D, 4, FALSE)</f>
        <v>Home Office</v>
      </c>
      <c r="L19" t="str">
        <f>VLOOKUP(C19, customer_dataset!A:B, 2, FALSE)</f>
        <v>Rahul Agarwal</v>
      </c>
      <c r="M19">
        <f t="shared" si="1"/>
        <v>65.842222222222233</v>
      </c>
    </row>
    <row r="20" spans="1:13">
      <c r="A20">
        <v>1019</v>
      </c>
      <c r="B20" s="1">
        <v>45738</v>
      </c>
      <c r="C20">
        <v>5030</v>
      </c>
      <c r="D20" t="s">
        <v>8</v>
      </c>
      <c r="E20">
        <v>3779.3</v>
      </c>
      <c r="F20">
        <v>6</v>
      </c>
      <c r="G20">
        <v>466.27</v>
      </c>
      <c r="H20">
        <v>0</v>
      </c>
      <c r="I20" t="str">
        <f>VLOOKUP(C20, customer_dataset!A:C, 3, FALSE)</f>
        <v>South</v>
      </c>
      <c r="J20">
        <f t="shared" si="0"/>
        <v>0.12337469901833671</v>
      </c>
      <c r="K20" t="str">
        <f>VLOOKUP(C20, customer_dataset!A:D, 4, FALSE)</f>
        <v>Home Office</v>
      </c>
      <c r="L20" t="str">
        <f>VLOOKUP(C20, customer_dataset!A:B, 2, FALSE)</f>
        <v>Vivaan Gupta</v>
      </c>
      <c r="M20">
        <f t="shared" si="1"/>
        <v>77.711666666666659</v>
      </c>
    </row>
    <row r="21" spans="1:13">
      <c r="A21">
        <v>1020</v>
      </c>
      <c r="B21" s="1">
        <v>45917</v>
      </c>
      <c r="C21">
        <v>5007</v>
      </c>
      <c r="D21" t="s">
        <v>9</v>
      </c>
      <c r="E21">
        <v>4773.7</v>
      </c>
      <c r="F21">
        <v>5</v>
      </c>
      <c r="G21">
        <v>1148.03</v>
      </c>
      <c r="H21">
        <v>0.2</v>
      </c>
      <c r="I21" t="str">
        <f>VLOOKUP(C21, customer_dataset!A:C, 3, FALSE)</f>
        <v>North</v>
      </c>
      <c r="J21">
        <f t="shared" si="0"/>
        <v>0.24049060477197981</v>
      </c>
      <c r="K21" t="str">
        <f>VLOOKUP(C21, customer_dataset!A:D, 4, FALSE)</f>
        <v>Consumer</v>
      </c>
      <c r="L21" t="str">
        <f>VLOOKUP(C21, customer_dataset!A:B, 2, FALSE)</f>
        <v>Amit Mishra</v>
      </c>
      <c r="M21">
        <f t="shared" si="1"/>
        <v>229.60599999999999</v>
      </c>
    </row>
    <row r="22" spans="1:13">
      <c r="A22">
        <v>1021</v>
      </c>
      <c r="B22" s="1">
        <v>45849</v>
      </c>
      <c r="C22">
        <v>5049</v>
      </c>
      <c r="D22" t="s">
        <v>8</v>
      </c>
      <c r="E22">
        <v>1562.38</v>
      </c>
      <c r="F22">
        <v>9</v>
      </c>
      <c r="G22">
        <v>155.81</v>
      </c>
      <c r="H22">
        <v>0.2</v>
      </c>
      <c r="I22" t="str">
        <f>VLOOKUP(C22, customer_dataset!A:C, 3, FALSE)</f>
        <v>South</v>
      </c>
      <c r="J22">
        <f t="shared" si="0"/>
        <v>9.9726058961328218E-2</v>
      </c>
      <c r="K22" t="str">
        <f>VLOOKUP(C22, customer_dataset!A:D, 4, FALSE)</f>
        <v>Consumer</v>
      </c>
      <c r="L22" t="str">
        <f>VLOOKUP(C22, customer_dataset!A:B, 2, FALSE)</f>
        <v>Rahul Singh</v>
      </c>
      <c r="M22">
        <f t="shared" si="1"/>
        <v>17.312222222222221</v>
      </c>
    </row>
    <row r="23" spans="1:13">
      <c r="A23">
        <v>1022</v>
      </c>
      <c r="B23" s="1">
        <v>45908</v>
      </c>
      <c r="C23">
        <v>5002</v>
      </c>
      <c r="D23" t="s">
        <v>8</v>
      </c>
      <c r="E23">
        <v>2742.96</v>
      </c>
      <c r="F23">
        <v>9</v>
      </c>
      <c r="G23">
        <v>547.87</v>
      </c>
      <c r="H23">
        <v>0</v>
      </c>
      <c r="I23" t="str">
        <f>VLOOKUP(C23, customer_dataset!A:C, 3, FALSE)</f>
        <v>South</v>
      </c>
      <c r="J23">
        <f t="shared" si="0"/>
        <v>0.19973678070405693</v>
      </c>
      <c r="K23" t="str">
        <f>VLOOKUP(C23, customer_dataset!A:D, 4, FALSE)</f>
        <v>Consumer</v>
      </c>
      <c r="L23" t="str">
        <f>VLOOKUP(C23, customer_dataset!A:B, 2, FALSE)</f>
        <v>Priya Singh</v>
      </c>
      <c r="M23">
        <f t="shared" si="1"/>
        <v>60.874444444444443</v>
      </c>
    </row>
    <row r="24" spans="1:13">
      <c r="A24">
        <v>1023</v>
      </c>
      <c r="B24" s="1">
        <v>45948</v>
      </c>
      <c r="C24">
        <v>5006</v>
      </c>
      <c r="D24" t="s">
        <v>8</v>
      </c>
      <c r="E24">
        <v>4652.58</v>
      </c>
      <c r="F24">
        <v>5</v>
      </c>
      <c r="G24">
        <v>300</v>
      </c>
      <c r="H24">
        <v>0.05</v>
      </c>
      <c r="I24" t="str">
        <f>VLOOKUP(C24, customer_dataset!A:C, 3, FALSE)</f>
        <v>South</v>
      </c>
      <c r="J24">
        <f t="shared" si="0"/>
        <v>6.4480352836490729E-2</v>
      </c>
      <c r="K24" t="str">
        <f>VLOOKUP(C24, customer_dataset!A:D, 4, FALSE)</f>
        <v>Corporate</v>
      </c>
      <c r="L24" t="str">
        <f>VLOOKUP(C24, customer_dataset!A:B, 2, FALSE)</f>
        <v>Ananya Agarwal</v>
      </c>
      <c r="M24">
        <f t="shared" si="1"/>
        <v>60</v>
      </c>
    </row>
    <row r="25" spans="1:13">
      <c r="A25">
        <v>1024</v>
      </c>
      <c r="B25" s="1">
        <v>45723</v>
      </c>
      <c r="C25">
        <v>5043</v>
      </c>
      <c r="D25" t="s">
        <v>10</v>
      </c>
      <c r="E25">
        <v>3686.35</v>
      </c>
      <c r="F25">
        <v>2</v>
      </c>
      <c r="G25">
        <v>890.1</v>
      </c>
      <c r="H25">
        <v>0.2</v>
      </c>
      <c r="I25" t="str">
        <f>VLOOKUP(C25, customer_dataset!A:C, 3, FALSE)</f>
        <v>South</v>
      </c>
      <c r="J25">
        <f t="shared" si="0"/>
        <v>0.24145835311351338</v>
      </c>
      <c r="K25" t="str">
        <f>VLOOKUP(C25, customer_dataset!A:D, 4, FALSE)</f>
        <v>Corporate</v>
      </c>
      <c r="L25" t="str">
        <f>VLOOKUP(C25, customer_dataset!A:B, 2, FALSE)</f>
        <v>Sneha Jain</v>
      </c>
      <c r="M25">
        <f t="shared" si="1"/>
        <v>445.05</v>
      </c>
    </row>
    <row r="26" spans="1:13">
      <c r="A26">
        <v>1025</v>
      </c>
      <c r="B26" s="1">
        <v>45968</v>
      </c>
      <c r="C26">
        <v>5028</v>
      </c>
      <c r="D26" t="s">
        <v>8</v>
      </c>
      <c r="E26">
        <v>4739.5600000000004</v>
      </c>
      <c r="F26">
        <v>3</v>
      </c>
      <c r="G26">
        <v>862.21</v>
      </c>
      <c r="H26">
        <v>0.1</v>
      </c>
      <c r="I26" t="str">
        <f>VLOOKUP(C26, customer_dataset!A:C, 3, FALSE)</f>
        <v>South</v>
      </c>
      <c r="J26">
        <f t="shared" si="0"/>
        <v>0.18191773075981735</v>
      </c>
      <c r="K26" t="str">
        <f>VLOOKUP(C26, customer_dataset!A:D, 4, FALSE)</f>
        <v>Consumer</v>
      </c>
      <c r="L26" t="str">
        <f>VLOOKUP(C26, customer_dataset!A:B, 2, FALSE)</f>
        <v>Riya Yadav</v>
      </c>
      <c r="M26">
        <f t="shared" si="1"/>
        <v>287.40333333333336</v>
      </c>
    </row>
    <row r="27" spans="1:13">
      <c r="A27">
        <v>1026</v>
      </c>
      <c r="B27" s="1">
        <v>46001</v>
      </c>
      <c r="C27">
        <v>5042</v>
      </c>
      <c r="D27" t="s">
        <v>10</v>
      </c>
      <c r="E27">
        <v>4651.68</v>
      </c>
      <c r="F27">
        <v>4</v>
      </c>
      <c r="G27">
        <v>696.58</v>
      </c>
      <c r="H27">
        <v>0.1</v>
      </c>
      <c r="I27" t="str">
        <f>VLOOKUP(C27, customer_dataset!A:C, 3, FALSE)</f>
        <v>South</v>
      </c>
      <c r="J27">
        <f t="shared" si="0"/>
        <v>0.14974804801706051</v>
      </c>
      <c r="K27" t="str">
        <f>VLOOKUP(C27, customer_dataset!A:D, 4, FALSE)</f>
        <v>Consumer</v>
      </c>
      <c r="L27" t="str">
        <f>VLOOKUP(C27, customer_dataset!A:B, 2, FALSE)</f>
        <v>Neha Verma</v>
      </c>
      <c r="M27">
        <f t="shared" si="1"/>
        <v>174.14500000000001</v>
      </c>
    </row>
    <row r="28" spans="1:13">
      <c r="A28">
        <v>1027</v>
      </c>
      <c r="B28" s="1">
        <v>45773</v>
      </c>
      <c r="C28">
        <v>5005</v>
      </c>
      <c r="D28" t="s">
        <v>10</v>
      </c>
      <c r="E28">
        <v>2246.69</v>
      </c>
      <c r="F28">
        <v>9</v>
      </c>
      <c r="G28">
        <v>180.3</v>
      </c>
      <c r="H28">
        <v>0.15</v>
      </c>
      <c r="I28" t="str">
        <f>VLOOKUP(C28, customer_dataset!A:C, 3, FALSE)</f>
        <v>North</v>
      </c>
      <c r="J28">
        <f t="shared" si="0"/>
        <v>8.025139204785707E-2</v>
      </c>
      <c r="K28" t="str">
        <f>VLOOKUP(C28, customer_dataset!A:D, 4, FALSE)</f>
        <v>Home Office</v>
      </c>
      <c r="L28" t="str">
        <f>VLOOKUP(C28, customer_dataset!A:B, 2, FALSE)</f>
        <v>Ananya Singh</v>
      </c>
      <c r="M28">
        <f t="shared" si="1"/>
        <v>20.033333333333335</v>
      </c>
    </row>
    <row r="29" spans="1:13">
      <c r="A29">
        <v>1028</v>
      </c>
      <c r="B29" s="1">
        <v>45661</v>
      </c>
      <c r="C29">
        <v>5005</v>
      </c>
      <c r="D29" t="s">
        <v>9</v>
      </c>
      <c r="E29">
        <v>203.07</v>
      </c>
      <c r="F29">
        <v>9</v>
      </c>
      <c r="G29">
        <v>40.03</v>
      </c>
      <c r="H29">
        <v>0.05</v>
      </c>
      <c r="I29" t="str">
        <f>VLOOKUP(C29, customer_dataset!A:C, 3, FALSE)</f>
        <v>North</v>
      </c>
      <c r="J29">
        <f t="shared" si="0"/>
        <v>0.19712414438371006</v>
      </c>
      <c r="K29" t="str">
        <f>VLOOKUP(C29, customer_dataset!A:D, 4, FALSE)</f>
        <v>Home Office</v>
      </c>
      <c r="L29" t="str">
        <f>VLOOKUP(C29, customer_dataset!A:B, 2, FALSE)</f>
        <v>Ananya Singh</v>
      </c>
      <c r="M29">
        <f t="shared" si="1"/>
        <v>4.4477777777777776</v>
      </c>
    </row>
    <row r="30" spans="1:13">
      <c r="A30">
        <v>1029</v>
      </c>
      <c r="B30" s="1">
        <v>45827</v>
      </c>
      <c r="C30">
        <v>5005</v>
      </c>
      <c r="D30" t="s">
        <v>9</v>
      </c>
      <c r="E30">
        <v>3192.4</v>
      </c>
      <c r="F30">
        <v>4</v>
      </c>
      <c r="G30">
        <v>882.24</v>
      </c>
      <c r="H30">
        <v>0</v>
      </c>
      <c r="I30" t="str">
        <f>VLOOKUP(C30, customer_dataset!A:C, 3, FALSE)</f>
        <v>North</v>
      </c>
      <c r="J30">
        <f t="shared" si="0"/>
        <v>0.27635634632251599</v>
      </c>
      <c r="K30" t="str">
        <f>VLOOKUP(C30, customer_dataset!A:D, 4, FALSE)</f>
        <v>Home Office</v>
      </c>
      <c r="L30" t="str">
        <f>VLOOKUP(C30, customer_dataset!A:B, 2, FALSE)</f>
        <v>Ananya Singh</v>
      </c>
      <c r="M30">
        <f t="shared" si="1"/>
        <v>220.56</v>
      </c>
    </row>
    <row r="31" spans="1:13">
      <c r="A31">
        <v>1030</v>
      </c>
      <c r="B31" s="1">
        <v>45950</v>
      </c>
      <c r="C31">
        <v>5037</v>
      </c>
      <c r="D31" t="s">
        <v>10</v>
      </c>
      <c r="E31">
        <v>1266.22</v>
      </c>
      <c r="F31">
        <v>8</v>
      </c>
      <c r="G31">
        <v>234.01</v>
      </c>
      <c r="H31">
        <v>0.05</v>
      </c>
      <c r="I31" t="str">
        <f>VLOOKUP(C31, customer_dataset!A:C, 3, FALSE)</f>
        <v>South</v>
      </c>
      <c r="J31">
        <f t="shared" si="0"/>
        <v>0.18480990665129282</v>
      </c>
      <c r="K31" t="str">
        <f>VLOOKUP(C31, customer_dataset!A:D, 4, FALSE)</f>
        <v>Consumer</v>
      </c>
      <c r="L31" t="str">
        <f>VLOOKUP(C31, customer_dataset!A:B, 2, FALSE)</f>
        <v>Vivaan Mishra</v>
      </c>
      <c r="M31">
        <f t="shared" si="1"/>
        <v>29.251249999999999</v>
      </c>
    </row>
    <row r="32" spans="1:13">
      <c r="A32">
        <v>1031</v>
      </c>
      <c r="B32" s="1">
        <v>45707</v>
      </c>
      <c r="C32">
        <v>5043</v>
      </c>
      <c r="D32" t="s">
        <v>10</v>
      </c>
      <c r="E32">
        <v>1290.69</v>
      </c>
      <c r="F32">
        <v>8</v>
      </c>
      <c r="G32">
        <v>125.97</v>
      </c>
      <c r="H32">
        <v>0.15</v>
      </c>
      <c r="I32" t="str">
        <f>VLOOKUP(C32, customer_dataset!A:C, 3, FALSE)</f>
        <v>South</v>
      </c>
      <c r="J32">
        <f t="shared" si="0"/>
        <v>9.7598958696511168E-2</v>
      </c>
      <c r="K32" t="str">
        <f>VLOOKUP(C32, customer_dataset!A:D, 4, FALSE)</f>
        <v>Corporate</v>
      </c>
      <c r="L32" t="str">
        <f>VLOOKUP(C32, customer_dataset!A:B, 2, FALSE)</f>
        <v>Sneha Jain</v>
      </c>
      <c r="M32">
        <f t="shared" si="1"/>
        <v>15.74625</v>
      </c>
    </row>
    <row r="33" spans="1:13">
      <c r="A33">
        <v>1032</v>
      </c>
      <c r="B33" s="1">
        <v>45685</v>
      </c>
      <c r="C33">
        <v>5044</v>
      </c>
      <c r="D33" t="s">
        <v>9</v>
      </c>
      <c r="E33">
        <v>1836.06</v>
      </c>
      <c r="F33">
        <v>7</v>
      </c>
      <c r="G33">
        <v>488.32</v>
      </c>
      <c r="H33">
        <v>0.15</v>
      </c>
      <c r="I33" t="str">
        <f>VLOOKUP(C33, customer_dataset!A:C, 3, FALSE)</f>
        <v>South</v>
      </c>
      <c r="J33">
        <f t="shared" si="0"/>
        <v>0.2659608073810224</v>
      </c>
      <c r="K33" t="str">
        <f>VLOOKUP(C33, customer_dataset!A:D, 4, FALSE)</f>
        <v>Home Office</v>
      </c>
      <c r="L33" t="str">
        <f>VLOOKUP(C33, customer_dataset!A:B, 2, FALSE)</f>
        <v>Rahul Agarwal</v>
      </c>
      <c r="M33">
        <f t="shared" si="1"/>
        <v>69.760000000000005</v>
      </c>
    </row>
    <row r="34" spans="1:13">
      <c r="A34">
        <v>1033</v>
      </c>
      <c r="B34" s="1">
        <v>45831</v>
      </c>
      <c r="C34">
        <v>5007</v>
      </c>
      <c r="D34" t="s">
        <v>8</v>
      </c>
      <c r="E34">
        <v>4922.41</v>
      </c>
      <c r="F34">
        <v>2</v>
      </c>
      <c r="G34">
        <v>741.59</v>
      </c>
      <c r="H34">
        <v>0</v>
      </c>
      <c r="I34" t="str">
        <f>VLOOKUP(C34, customer_dataset!A:C, 3, FALSE)</f>
        <v>North</v>
      </c>
      <c r="J34">
        <f t="shared" si="0"/>
        <v>0.15065587791346111</v>
      </c>
      <c r="K34" t="str">
        <f>VLOOKUP(C34, customer_dataset!A:D, 4, FALSE)</f>
        <v>Consumer</v>
      </c>
      <c r="L34" t="str">
        <f>VLOOKUP(C34, customer_dataset!A:B, 2, FALSE)</f>
        <v>Amit Mishra</v>
      </c>
      <c r="M34">
        <f t="shared" si="1"/>
        <v>370.79500000000002</v>
      </c>
    </row>
    <row r="35" spans="1:13">
      <c r="A35">
        <v>1034</v>
      </c>
      <c r="B35" s="1">
        <v>45751</v>
      </c>
      <c r="C35">
        <v>5018</v>
      </c>
      <c r="D35" t="s">
        <v>10</v>
      </c>
      <c r="E35">
        <v>1038.79</v>
      </c>
      <c r="F35">
        <v>9</v>
      </c>
      <c r="G35">
        <v>88.34</v>
      </c>
      <c r="H35">
        <v>0.15</v>
      </c>
      <c r="I35" t="str">
        <f>VLOOKUP(C35, customer_dataset!A:C, 3, FALSE)</f>
        <v>East</v>
      </c>
      <c r="J35">
        <f t="shared" si="0"/>
        <v>8.5041249915767392E-2</v>
      </c>
      <c r="K35" t="str">
        <f>VLOOKUP(C35, customer_dataset!A:D, 4, FALSE)</f>
        <v>Home Office</v>
      </c>
      <c r="L35" t="str">
        <f>VLOOKUP(C35, customer_dataset!A:B, 2, FALSE)</f>
        <v>Vidushi Singh</v>
      </c>
      <c r="M35">
        <f t="shared" si="1"/>
        <v>9.8155555555555551</v>
      </c>
    </row>
    <row r="36" spans="1:13">
      <c r="A36">
        <v>1035</v>
      </c>
      <c r="B36" s="1">
        <v>45939</v>
      </c>
      <c r="C36">
        <v>5007</v>
      </c>
      <c r="D36" t="s">
        <v>8</v>
      </c>
      <c r="E36">
        <v>1324.05</v>
      </c>
      <c r="F36">
        <v>2</v>
      </c>
      <c r="G36">
        <v>333.67</v>
      </c>
      <c r="H36">
        <v>0.15</v>
      </c>
      <c r="I36" t="str">
        <f>VLOOKUP(C36, customer_dataset!A:C, 3, FALSE)</f>
        <v>North</v>
      </c>
      <c r="J36">
        <f t="shared" si="0"/>
        <v>0.25200709942977989</v>
      </c>
      <c r="K36" t="str">
        <f>VLOOKUP(C36, customer_dataset!A:D, 4, FALSE)</f>
        <v>Consumer</v>
      </c>
      <c r="L36" t="str">
        <f>VLOOKUP(C36, customer_dataset!A:B, 2, FALSE)</f>
        <v>Amit Mishra</v>
      </c>
      <c r="M36">
        <f t="shared" si="1"/>
        <v>166.83500000000001</v>
      </c>
    </row>
    <row r="37" spans="1:13">
      <c r="A37">
        <v>1036</v>
      </c>
      <c r="B37" s="1">
        <v>45779</v>
      </c>
      <c r="C37">
        <v>5011</v>
      </c>
      <c r="D37" t="s">
        <v>10</v>
      </c>
      <c r="E37">
        <v>3295.51</v>
      </c>
      <c r="F37">
        <v>9</v>
      </c>
      <c r="G37">
        <v>963.11</v>
      </c>
      <c r="H37">
        <v>0</v>
      </c>
      <c r="I37" t="str">
        <f>VLOOKUP(C37, customer_dataset!A:C, 3, FALSE)</f>
        <v>North</v>
      </c>
      <c r="J37">
        <f t="shared" si="0"/>
        <v>0.29224915111773292</v>
      </c>
      <c r="K37" t="str">
        <f>VLOOKUP(C37, customer_dataset!A:D, 4, FALSE)</f>
        <v>Home Office</v>
      </c>
      <c r="L37" t="str">
        <f>VLOOKUP(C37, customer_dataset!A:B, 2, FALSE)</f>
        <v>Vidushi Mishra</v>
      </c>
      <c r="M37">
        <f t="shared" si="1"/>
        <v>107.01222222222222</v>
      </c>
    </row>
    <row r="38" spans="1:13">
      <c r="A38">
        <v>1037</v>
      </c>
      <c r="B38" s="1">
        <v>45742</v>
      </c>
      <c r="C38">
        <v>5025</v>
      </c>
      <c r="D38" t="s">
        <v>8</v>
      </c>
      <c r="E38">
        <v>2479.64</v>
      </c>
      <c r="F38">
        <v>4</v>
      </c>
      <c r="G38">
        <v>683.42</v>
      </c>
      <c r="H38">
        <v>0.15</v>
      </c>
      <c r="I38" t="str">
        <f>VLOOKUP(C38, customer_dataset!A:C, 3, FALSE)</f>
        <v>West</v>
      </c>
      <c r="J38">
        <f t="shared" si="0"/>
        <v>0.27561258892419865</v>
      </c>
      <c r="K38" t="str">
        <f>VLOOKUP(C38, customer_dataset!A:D, 4, FALSE)</f>
        <v>Consumer</v>
      </c>
      <c r="L38" t="str">
        <f>VLOOKUP(C38, customer_dataset!A:B, 2, FALSE)</f>
        <v>Neha Agarwal</v>
      </c>
      <c r="M38">
        <f t="shared" si="1"/>
        <v>170.85499999999999</v>
      </c>
    </row>
    <row r="39" spans="1:13">
      <c r="A39">
        <v>1038</v>
      </c>
      <c r="B39" s="1">
        <v>46014</v>
      </c>
      <c r="C39">
        <v>5047</v>
      </c>
      <c r="D39" t="s">
        <v>9</v>
      </c>
      <c r="E39">
        <v>4928.01</v>
      </c>
      <c r="F39">
        <v>5</v>
      </c>
      <c r="G39">
        <v>597.83000000000004</v>
      </c>
      <c r="H39">
        <v>0.15</v>
      </c>
      <c r="I39" t="str">
        <f>VLOOKUP(C39, customer_dataset!A:C, 3, FALSE)</f>
        <v>South</v>
      </c>
      <c r="J39">
        <f>G39/E39</f>
        <v>0.12131265967398605</v>
      </c>
      <c r="K39" t="str">
        <f>VLOOKUP(C39, customer_dataset!A:D, 4, FALSE)</f>
        <v>Consumer</v>
      </c>
      <c r="L39" t="str">
        <f>VLOOKUP(C39, customer_dataset!A:B, 2, FALSE)</f>
        <v>Neha Verma</v>
      </c>
      <c r="M39">
        <f t="shared" si="1"/>
        <v>119.566</v>
      </c>
    </row>
    <row r="40" spans="1:13">
      <c r="A40">
        <v>1039</v>
      </c>
      <c r="B40" s="1">
        <v>45769</v>
      </c>
      <c r="C40">
        <v>5004</v>
      </c>
      <c r="D40" t="s">
        <v>9</v>
      </c>
      <c r="E40">
        <v>3343.17</v>
      </c>
      <c r="F40">
        <v>8</v>
      </c>
      <c r="G40">
        <v>325.87</v>
      </c>
      <c r="H40">
        <v>0.05</v>
      </c>
      <c r="I40" t="str">
        <f>VLOOKUP(C40, customer_dataset!A:C, 3, FALSE)</f>
        <v>North</v>
      </c>
      <c r="J40">
        <f t="shared" si="0"/>
        <v>9.7473356126071956E-2</v>
      </c>
      <c r="K40" t="str">
        <f>VLOOKUP(C40, customer_dataset!A:D, 4, FALSE)</f>
        <v>Consumer</v>
      </c>
      <c r="L40" t="str">
        <f>VLOOKUP(C40, customer_dataset!A:B, 2, FALSE)</f>
        <v>Riya Sharma</v>
      </c>
      <c r="M40">
        <f t="shared" si="1"/>
        <v>40.733750000000001</v>
      </c>
    </row>
    <row r="41" spans="1:13">
      <c r="A41">
        <v>1040</v>
      </c>
      <c r="B41" s="1">
        <v>45957</v>
      </c>
      <c r="C41">
        <v>5031</v>
      </c>
      <c r="D41" t="s">
        <v>9</v>
      </c>
      <c r="E41">
        <v>3705.11</v>
      </c>
      <c r="F41">
        <v>1</v>
      </c>
      <c r="G41">
        <v>238.21</v>
      </c>
      <c r="H41">
        <v>0.1</v>
      </c>
      <c r="I41" t="str">
        <f>VLOOKUP(C41, customer_dataset!A:C, 3, FALSE)</f>
        <v>West</v>
      </c>
      <c r="J41">
        <f t="shared" si="0"/>
        <v>6.429228821816356E-2</v>
      </c>
      <c r="K41" t="str">
        <f>VLOOKUP(C41, customer_dataset!A:D, 4, FALSE)</f>
        <v>Corporate</v>
      </c>
      <c r="L41" t="str">
        <f>VLOOKUP(C41, customer_dataset!A:B, 2, FALSE)</f>
        <v>Riya Verma</v>
      </c>
      <c r="M41">
        <f t="shared" si="1"/>
        <v>238.21</v>
      </c>
    </row>
    <row r="42" spans="1:13">
      <c r="A42">
        <v>1041</v>
      </c>
      <c r="B42" s="1">
        <v>45918</v>
      </c>
      <c r="C42">
        <v>5006</v>
      </c>
      <c r="D42" t="s">
        <v>8</v>
      </c>
      <c r="E42">
        <v>4605</v>
      </c>
      <c r="F42">
        <v>9</v>
      </c>
      <c r="G42">
        <v>295.73</v>
      </c>
      <c r="H42">
        <v>0.05</v>
      </c>
      <c r="I42" t="str">
        <f>VLOOKUP(C42, customer_dataset!A:C, 3, FALSE)</f>
        <v>South</v>
      </c>
      <c r="J42">
        <f t="shared" si="0"/>
        <v>6.4219326818675357E-2</v>
      </c>
      <c r="K42" t="str">
        <f>VLOOKUP(C42, customer_dataset!A:D, 4, FALSE)</f>
        <v>Corporate</v>
      </c>
      <c r="L42" t="str">
        <f>VLOOKUP(C42, customer_dataset!A:B, 2, FALSE)</f>
        <v>Ananya Agarwal</v>
      </c>
      <c r="M42">
        <f t="shared" si="1"/>
        <v>32.858888888888892</v>
      </c>
    </row>
    <row r="43" spans="1:13">
      <c r="A43">
        <v>1042</v>
      </c>
      <c r="B43" s="1">
        <v>45949</v>
      </c>
      <c r="C43">
        <v>5016</v>
      </c>
      <c r="D43" t="s">
        <v>9</v>
      </c>
      <c r="E43">
        <v>435.75</v>
      </c>
      <c r="F43">
        <v>2</v>
      </c>
      <c r="G43">
        <v>65.77</v>
      </c>
      <c r="H43">
        <v>0.05</v>
      </c>
      <c r="I43" t="str">
        <f>VLOOKUP(C43, customer_dataset!A:C, 3, FALSE)</f>
        <v>East</v>
      </c>
      <c r="J43">
        <f t="shared" si="0"/>
        <v>0.15093516924842226</v>
      </c>
      <c r="K43" t="str">
        <f>VLOOKUP(C43, customer_dataset!A:D, 4, FALSE)</f>
        <v>Corporate</v>
      </c>
      <c r="L43" t="str">
        <f>VLOOKUP(C43, customer_dataset!A:B, 2, FALSE)</f>
        <v>Vivaan Agarwal</v>
      </c>
      <c r="M43">
        <f t="shared" si="1"/>
        <v>32.884999999999998</v>
      </c>
    </row>
    <row r="44" spans="1:13">
      <c r="A44">
        <v>1043</v>
      </c>
      <c r="B44" s="1">
        <v>45956</v>
      </c>
      <c r="C44">
        <v>5037</v>
      </c>
      <c r="D44" t="s">
        <v>9</v>
      </c>
      <c r="E44">
        <v>3013.14</v>
      </c>
      <c r="F44">
        <v>10</v>
      </c>
      <c r="G44">
        <v>466.45</v>
      </c>
      <c r="H44">
        <v>0</v>
      </c>
      <c r="I44" t="str">
        <f>VLOOKUP(C44, customer_dataset!A:C, 3, FALSE)</f>
        <v>South</v>
      </c>
      <c r="J44">
        <f t="shared" si="0"/>
        <v>0.15480528617986553</v>
      </c>
      <c r="K44" t="str">
        <f>VLOOKUP(C44, customer_dataset!A:D, 4, FALSE)</f>
        <v>Consumer</v>
      </c>
      <c r="L44" t="str">
        <f>VLOOKUP(C44, customer_dataset!A:B, 2, FALSE)</f>
        <v>Vivaan Mishra</v>
      </c>
      <c r="M44">
        <f t="shared" si="1"/>
        <v>46.644999999999996</v>
      </c>
    </row>
    <row r="45" spans="1:13">
      <c r="A45">
        <v>1044</v>
      </c>
      <c r="B45" s="1">
        <v>45818</v>
      </c>
      <c r="C45">
        <v>5016</v>
      </c>
      <c r="D45" t="s">
        <v>10</v>
      </c>
      <c r="E45">
        <v>1650.21</v>
      </c>
      <c r="F45">
        <v>5</v>
      </c>
      <c r="G45">
        <v>358.81</v>
      </c>
      <c r="H45">
        <v>0.05</v>
      </c>
      <c r="I45" t="str">
        <f>VLOOKUP(C45, customer_dataset!A:C, 3, FALSE)</f>
        <v>East</v>
      </c>
      <c r="J45">
        <f t="shared" si="0"/>
        <v>0.21743293277825246</v>
      </c>
      <c r="K45" t="str">
        <f>VLOOKUP(C45, customer_dataset!A:D, 4, FALSE)</f>
        <v>Corporate</v>
      </c>
      <c r="L45" t="str">
        <f>VLOOKUP(C45, customer_dataset!A:B, 2, FALSE)</f>
        <v>Vivaan Agarwal</v>
      </c>
      <c r="M45">
        <f t="shared" si="1"/>
        <v>71.762</v>
      </c>
    </row>
    <row r="46" spans="1:13">
      <c r="A46">
        <v>1045</v>
      </c>
      <c r="B46" s="1">
        <v>45695</v>
      </c>
      <c r="C46">
        <v>5001</v>
      </c>
      <c r="D46" t="s">
        <v>10</v>
      </c>
      <c r="E46">
        <v>2039.35</v>
      </c>
      <c r="F46">
        <v>5</v>
      </c>
      <c r="G46">
        <v>263.17</v>
      </c>
      <c r="H46">
        <v>0.15</v>
      </c>
      <c r="I46" t="str">
        <f>VLOOKUP(C46, customer_dataset!A:C, 3, FALSE)</f>
        <v>North</v>
      </c>
      <c r="J46">
        <f t="shared" si="0"/>
        <v>0.12904601956505751</v>
      </c>
      <c r="K46" t="str">
        <f>VLOOKUP(C46, customer_dataset!A:D, 4, FALSE)</f>
        <v>Home Office</v>
      </c>
      <c r="L46" t="str">
        <f>VLOOKUP(C46, customer_dataset!A:B, 2, FALSE)</f>
        <v>Sneha Verma</v>
      </c>
      <c r="M46">
        <f t="shared" si="1"/>
        <v>52.634</v>
      </c>
    </row>
    <row r="47" spans="1:13">
      <c r="A47">
        <v>1046</v>
      </c>
      <c r="B47" s="1">
        <v>45767</v>
      </c>
      <c r="C47">
        <v>5033</v>
      </c>
      <c r="D47" t="s">
        <v>10</v>
      </c>
      <c r="E47">
        <v>3143.68</v>
      </c>
      <c r="F47">
        <v>10</v>
      </c>
      <c r="G47">
        <v>214.76</v>
      </c>
      <c r="H47">
        <v>0</v>
      </c>
      <c r="I47" t="str">
        <f>VLOOKUP(C47, customer_dataset!A:C, 3, FALSE)</f>
        <v>East</v>
      </c>
      <c r="J47">
        <f t="shared" si="0"/>
        <v>6.8314841205211724E-2</v>
      </c>
      <c r="K47" t="str">
        <f>VLOOKUP(C47, customer_dataset!A:D, 4, FALSE)</f>
        <v>Home Office</v>
      </c>
      <c r="L47" t="str">
        <f>VLOOKUP(C47, customer_dataset!A:B, 2, FALSE)</f>
        <v>Aarav Verma</v>
      </c>
      <c r="M47">
        <f t="shared" si="1"/>
        <v>21.475999999999999</v>
      </c>
    </row>
    <row r="48" spans="1:13">
      <c r="A48">
        <v>1047</v>
      </c>
      <c r="B48" s="1">
        <v>45847</v>
      </c>
      <c r="C48">
        <v>5019</v>
      </c>
      <c r="D48" t="s">
        <v>8</v>
      </c>
      <c r="E48">
        <v>749.04</v>
      </c>
      <c r="F48">
        <v>6</v>
      </c>
      <c r="G48">
        <v>202.1</v>
      </c>
      <c r="H48">
        <v>0</v>
      </c>
      <c r="I48" t="str">
        <f>VLOOKUP(C48, customer_dataset!A:C, 3, FALSE)</f>
        <v>South</v>
      </c>
      <c r="J48">
        <f t="shared" si="0"/>
        <v>0.26981202606002352</v>
      </c>
      <c r="K48" t="str">
        <f>VLOOKUP(C48, customer_dataset!A:D, 4, FALSE)</f>
        <v>Home Office</v>
      </c>
      <c r="L48" t="str">
        <f>VLOOKUP(C48, customer_dataset!A:B, 2, FALSE)</f>
        <v>Sneha Verma</v>
      </c>
      <c r="M48">
        <f t="shared" si="1"/>
        <v>33.68333333333333</v>
      </c>
    </row>
    <row r="49" spans="1:13">
      <c r="A49">
        <v>1048</v>
      </c>
      <c r="B49" s="1">
        <v>45992</v>
      </c>
      <c r="C49">
        <v>5034</v>
      </c>
      <c r="D49" t="s">
        <v>8</v>
      </c>
      <c r="E49">
        <v>2247.1</v>
      </c>
      <c r="F49">
        <v>9</v>
      </c>
      <c r="G49">
        <v>455.98</v>
      </c>
      <c r="H49">
        <v>0.1</v>
      </c>
      <c r="I49" t="str">
        <f>VLOOKUP(C49, customer_dataset!A:C, 3, FALSE)</f>
        <v>East</v>
      </c>
      <c r="J49">
        <f t="shared" si="0"/>
        <v>0.20291931823238843</v>
      </c>
      <c r="K49" t="str">
        <f>VLOOKUP(C49, customer_dataset!A:D, 4, FALSE)</f>
        <v>Corporate</v>
      </c>
      <c r="L49" t="str">
        <f>VLOOKUP(C49, customer_dataset!A:B, 2, FALSE)</f>
        <v>Vidushi Verma</v>
      </c>
      <c r="M49">
        <f t="shared" si="1"/>
        <v>50.664444444444449</v>
      </c>
    </row>
    <row r="50" spans="1:13">
      <c r="A50">
        <v>1049</v>
      </c>
      <c r="B50" s="1">
        <v>45711</v>
      </c>
      <c r="C50">
        <v>5009</v>
      </c>
      <c r="D50" t="s">
        <v>10</v>
      </c>
      <c r="E50">
        <v>3372.53</v>
      </c>
      <c r="F50">
        <v>9</v>
      </c>
      <c r="G50">
        <v>954.22</v>
      </c>
      <c r="H50">
        <v>0.1</v>
      </c>
      <c r="I50" t="str">
        <f>VLOOKUP(C50, customer_dataset!A:C, 3, FALSE)</f>
        <v>East</v>
      </c>
      <c r="J50">
        <f t="shared" si="0"/>
        <v>0.28293892122531156</v>
      </c>
      <c r="K50" t="str">
        <f>VLOOKUP(C50, customer_dataset!A:D, 4, FALSE)</f>
        <v>Consumer</v>
      </c>
      <c r="L50" t="str">
        <f>VLOOKUP(C50, customer_dataset!A:B, 2, FALSE)</f>
        <v>Aditya Singh</v>
      </c>
      <c r="M50">
        <f t="shared" si="1"/>
        <v>106.02444444444444</v>
      </c>
    </row>
    <row r="51" spans="1:13">
      <c r="A51">
        <v>1050</v>
      </c>
      <c r="B51" s="1">
        <v>45802</v>
      </c>
      <c r="C51">
        <v>5039</v>
      </c>
      <c r="D51" t="s">
        <v>8</v>
      </c>
      <c r="E51">
        <v>665.6</v>
      </c>
      <c r="F51">
        <v>2</v>
      </c>
      <c r="G51">
        <v>59.15</v>
      </c>
      <c r="H51">
        <v>0.2</v>
      </c>
      <c r="I51" t="str">
        <f>VLOOKUP(C51, customer_dataset!A:C, 3, FALSE)</f>
        <v>North</v>
      </c>
      <c r="J51">
        <f t="shared" si="0"/>
        <v>8.88671875E-2</v>
      </c>
      <c r="K51" t="str">
        <f>VLOOKUP(C51, customer_dataset!A:D, 4, FALSE)</f>
        <v>Consumer</v>
      </c>
      <c r="L51" t="str">
        <f>VLOOKUP(C51, customer_dataset!A:B, 2, FALSE)</f>
        <v>Vidushi Jain</v>
      </c>
      <c r="M51">
        <f t="shared" si="1"/>
        <v>29.574999999999999</v>
      </c>
    </row>
    <row r="52" spans="1:13">
      <c r="A52">
        <v>1051</v>
      </c>
      <c r="B52" s="1">
        <v>45786</v>
      </c>
      <c r="C52">
        <v>5004</v>
      </c>
      <c r="D52" t="s">
        <v>8</v>
      </c>
      <c r="E52">
        <v>3616.3</v>
      </c>
      <c r="F52">
        <v>4</v>
      </c>
      <c r="G52">
        <v>637.74</v>
      </c>
      <c r="H52">
        <v>0.1</v>
      </c>
      <c r="I52" t="str">
        <f>VLOOKUP(C52, customer_dataset!A:C, 3, FALSE)</f>
        <v>North</v>
      </c>
      <c r="J52">
        <f t="shared" si="0"/>
        <v>0.1763515195088903</v>
      </c>
      <c r="K52" t="str">
        <f>VLOOKUP(C52, customer_dataset!A:D, 4, FALSE)</f>
        <v>Consumer</v>
      </c>
      <c r="L52" t="str">
        <f>VLOOKUP(C52, customer_dataset!A:B, 2, FALSE)</f>
        <v>Riya Sharma</v>
      </c>
      <c r="M52">
        <f t="shared" si="1"/>
        <v>159.435</v>
      </c>
    </row>
    <row r="53" spans="1:13">
      <c r="A53">
        <v>1052</v>
      </c>
      <c r="B53" s="1">
        <v>45724</v>
      </c>
      <c r="C53">
        <v>5041</v>
      </c>
      <c r="D53" t="s">
        <v>10</v>
      </c>
      <c r="E53">
        <v>3207.99</v>
      </c>
      <c r="F53">
        <v>5</v>
      </c>
      <c r="G53">
        <v>163.24</v>
      </c>
      <c r="H53">
        <v>0</v>
      </c>
      <c r="I53" t="str">
        <f>VLOOKUP(C53, customer_dataset!A:C, 3, FALSE)</f>
        <v>North</v>
      </c>
      <c r="J53">
        <f t="shared" si="0"/>
        <v>5.0885445403508124E-2</v>
      </c>
      <c r="K53" t="str">
        <f>VLOOKUP(C53, customer_dataset!A:D, 4, FALSE)</f>
        <v>Home Office</v>
      </c>
      <c r="L53" t="str">
        <f>VLOOKUP(C53, customer_dataset!A:B, 2, FALSE)</f>
        <v>Ananya Verma</v>
      </c>
      <c r="M53">
        <f t="shared" si="1"/>
        <v>32.648000000000003</v>
      </c>
    </row>
    <row r="54" spans="1:13">
      <c r="A54">
        <v>1053</v>
      </c>
      <c r="B54" s="1">
        <v>45945</v>
      </c>
      <c r="C54">
        <v>5001</v>
      </c>
      <c r="D54" t="s">
        <v>8</v>
      </c>
      <c r="E54">
        <v>891.75</v>
      </c>
      <c r="F54">
        <v>8</v>
      </c>
      <c r="G54">
        <v>201.91</v>
      </c>
      <c r="H54">
        <v>0.2</v>
      </c>
      <c r="I54" t="str">
        <f>VLOOKUP(C54, customer_dataset!A:C, 3, FALSE)</f>
        <v>North</v>
      </c>
      <c r="J54">
        <f t="shared" si="0"/>
        <v>0.22641996075133164</v>
      </c>
      <c r="K54" t="str">
        <f>VLOOKUP(C54, customer_dataset!A:D, 4, FALSE)</f>
        <v>Home Office</v>
      </c>
      <c r="L54" t="str">
        <f>VLOOKUP(C54, customer_dataset!A:B, 2, FALSE)</f>
        <v>Sneha Verma</v>
      </c>
      <c r="M54">
        <f t="shared" si="1"/>
        <v>25.23875</v>
      </c>
    </row>
    <row r="55" spans="1:13">
      <c r="A55">
        <v>1054</v>
      </c>
      <c r="B55" s="1">
        <v>45847</v>
      </c>
      <c r="C55">
        <v>5038</v>
      </c>
      <c r="D55" t="s">
        <v>9</v>
      </c>
      <c r="E55">
        <v>468.69</v>
      </c>
      <c r="F55">
        <v>3</v>
      </c>
      <c r="G55">
        <v>27.66</v>
      </c>
      <c r="H55">
        <v>0.2</v>
      </c>
      <c r="I55" t="str">
        <f>VLOOKUP(C55, customer_dataset!A:C, 3, FALSE)</f>
        <v>North</v>
      </c>
      <c r="J55">
        <f t="shared" si="0"/>
        <v>5.9015553990910838E-2</v>
      </c>
      <c r="K55" t="str">
        <f>VLOOKUP(C55, customer_dataset!A:D, 4, FALSE)</f>
        <v>Home Office</v>
      </c>
      <c r="L55" t="str">
        <f>VLOOKUP(C55, customer_dataset!A:B, 2, FALSE)</f>
        <v>Vidushi Gupta</v>
      </c>
      <c r="M55">
        <f t="shared" si="1"/>
        <v>9.2200000000000006</v>
      </c>
    </row>
    <row r="56" spans="1:13">
      <c r="A56">
        <v>1055</v>
      </c>
      <c r="B56" s="1">
        <v>45678</v>
      </c>
      <c r="C56">
        <v>5023</v>
      </c>
      <c r="D56" t="s">
        <v>8</v>
      </c>
      <c r="E56">
        <v>825.66</v>
      </c>
      <c r="F56">
        <v>3</v>
      </c>
      <c r="G56">
        <v>104.91</v>
      </c>
      <c r="H56">
        <v>0</v>
      </c>
      <c r="I56" t="str">
        <f>VLOOKUP(C56, customer_dataset!A:C, 3, FALSE)</f>
        <v>East</v>
      </c>
      <c r="J56">
        <f t="shared" si="0"/>
        <v>0.12706198677421698</v>
      </c>
      <c r="K56" t="str">
        <f>VLOOKUP(C56, customer_dataset!A:D, 4, FALSE)</f>
        <v>Consumer</v>
      </c>
      <c r="L56" t="str">
        <f>VLOOKUP(C56, customer_dataset!A:B, 2, FALSE)</f>
        <v>Vidushi Agarwal</v>
      </c>
      <c r="M56">
        <f t="shared" si="1"/>
        <v>34.97</v>
      </c>
    </row>
    <row r="57" spans="1:13">
      <c r="A57">
        <v>1056</v>
      </c>
      <c r="B57" s="1">
        <v>45866</v>
      </c>
      <c r="C57">
        <v>5040</v>
      </c>
      <c r="D57" t="s">
        <v>9</v>
      </c>
      <c r="E57">
        <v>3442.13</v>
      </c>
      <c r="F57">
        <v>2</v>
      </c>
      <c r="G57">
        <v>843.42</v>
      </c>
      <c r="H57">
        <v>0.1</v>
      </c>
      <c r="I57" t="str">
        <f>VLOOKUP(C57, customer_dataset!A:C, 3, FALSE)</f>
        <v>South</v>
      </c>
      <c r="J57">
        <f t="shared" si="0"/>
        <v>0.24502851432107442</v>
      </c>
      <c r="K57" t="str">
        <f>VLOOKUP(C57, customer_dataset!A:D, 4, FALSE)</f>
        <v>Consumer</v>
      </c>
      <c r="L57" t="str">
        <f>VLOOKUP(C57, customer_dataset!A:B, 2, FALSE)</f>
        <v>Vidushi Mishra</v>
      </c>
      <c r="M57">
        <f t="shared" si="1"/>
        <v>421.71</v>
      </c>
    </row>
    <row r="58" spans="1:13">
      <c r="A58">
        <v>1057</v>
      </c>
      <c r="B58" s="1">
        <v>45748</v>
      </c>
      <c r="C58">
        <v>5027</v>
      </c>
      <c r="D58" t="s">
        <v>8</v>
      </c>
      <c r="E58">
        <v>857.31</v>
      </c>
      <c r="F58">
        <v>4</v>
      </c>
      <c r="G58">
        <v>252.09</v>
      </c>
      <c r="H58">
        <v>0.05</v>
      </c>
      <c r="I58" t="str">
        <f>VLOOKUP(C58, customer_dataset!A:C, 3, FALSE)</f>
        <v>West</v>
      </c>
      <c r="J58">
        <f t="shared" si="0"/>
        <v>0.29404766070616234</v>
      </c>
      <c r="K58" t="str">
        <f>VLOOKUP(C58, customer_dataset!A:D, 4, FALSE)</f>
        <v>Home Office</v>
      </c>
      <c r="L58" t="str">
        <f>VLOOKUP(C58, customer_dataset!A:B, 2, FALSE)</f>
        <v>Rahul Mishra</v>
      </c>
      <c r="M58">
        <f t="shared" si="1"/>
        <v>63.022500000000001</v>
      </c>
    </row>
    <row r="59" spans="1:13">
      <c r="A59">
        <v>1058</v>
      </c>
      <c r="B59" s="1">
        <v>45785</v>
      </c>
      <c r="C59">
        <v>5018</v>
      </c>
      <c r="D59" t="s">
        <v>8</v>
      </c>
      <c r="E59">
        <v>978.87</v>
      </c>
      <c r="F59">
        <v>6</v>
      </c>
      <c r="G59">
        <v>245.26</v>
      </c>
      <c r="H59">
        <v>0.15</v>
      </c>
      <c r="I59" t="str">
        <f>VLOOKUP(C59, customer_dataset!A:C, 3, FALSE)</f>
        <v>East</v>
      </c>
      <c r="J59">
        <f t="shared" si="0"/>
        <v>0.2505542104671713</v>
      </c>
      <c r="K59" t="str">
        <f>VLOOKUP(C59, customer_dataset!A:D, 4, FALSE)</f>
        <v>Home Office</v>
      </c>
      <c r="L59" t="str">
        <f>VLOOKUP(C59, customer_dataset!A:B, 2, FALSE)</f>
        <v>Vidushi Singh</v>
      </c>
      <c r="M59">
        <f t="shared" si="1"/>
        <v>40.876666666666665</v>
      </c>
    </row>
    <row r="60" spans="1:13">
      <c r="A60">
        <v>1059</v>
      </c>
      <c r="B60" s="1">
        <v>45898</v>
      </c>
      <c r="C60">
        <v>5015</v>
      </c>
      <c r="D60" t="s">
        <v>8</v>
      </c>
      <c r="E60">
        <v>3958.14</v>
      </c>
      <c r="F60">
        <v>2</v>
      </c>
      <c r="G60">
        <v>1060.95</v>
      </c>
      <c r="H60">
        <v>0.15</v>
      </c>
      <c r="I60" t="str">
        <f>VLOOKUP(C60, customer_dataset!A:C, 3, FALSE)</f>
        <v>North</v>
      </c>
      <c r="J60">
        <f t="shared" si="0"/>
        <v>0.26804256544740712</v>
      </c>
      <c r="K60" t="str">
        <f>VLOOKUP(C60, customer_dataset!A:D, 4, FALSE)</f>
        <v>Consumer</v>
      </c>
      <c r="L60" t="str">
        <f>VLOOKUP(C60, customer_dataset!A:B, 2, FALSE)</f>
        <v>Ananya Mishra</v>
      </c>
      <c r="M60">
        <f t="shared" si="1"/>
        <v>530.47500000000002</v>
      </c>
    </row>
    <row r="61" spans="1:13">
      <c r="A61">
        <v>1060</v>
      </c>
      <c r="B61" s="1">
        <v>45774</v>
      </c>
      <c r="C61">
        <v>5015</v>
      </c>
      <c r="D61" t="s">
        <v>8</v>
      </c>
      <c r="E61">
        <v>4101.2700000000004</v>
      </c>
      <c r="F61">
        <v>8</v>
      </c>
      <c r="G61">
        <v>517.98</v>
      </c>
      <c r="H61">
        <v>0.1</v>
      </c>
      <c r="I61" t="str">
        <f>VLOOKUP(C61, customer_dataset!A:C, 3, FALSE)</f>
        <v>North</v>
      </c>
      <c r="J61">
        <f t="shared" si="0"/>
        <v>0.12629746395628672</v>
      </c>
      <c r="K61" t="str">
        <f>VLOOKUP(C61, customer_dataset!A:D, 4, FALSE)</f>
        <v>Consumer</v>
      </c>
      <c r="L61" t="str">
        <f>VLOOKUP(C61, customer_dataset!A:B, 2, FALSE)</f>
        <v>Ananya Mishra</v>
      </c>
      <c r="M61">
        <f t="shared" si="1"/>
        <v>64.747500000000002</v>
      </c>
    </row>
    <row r="62" spans="1:13">
      <c r="A62">
        <v>1061</v>
      </c>
      <c r="B62" s="1">
        <v>45693</v>
      </c>
      <c r="C62">
        <v>5050</v>
      </c>
      <c r="D62" t="s">
        <v>10</v>
      </c>
      <c r="E62">
        <v>3334.16</v>
      </c>
      <c r="F62">
        <v>7</v>
      </c>
      <c r="G62">
        <v>398.93</v>
      </c>
      <c r="H62">
        <v>0.1</v>
      </c>
      <c r="I62" t="str">
        <f>VLOOKUP(C62, customer_dataset!A:C, 3, FALSE)</f>
        <v>South</v>
      </c>
      <c r="J62">
        <f t="shared" si="0"/>
        <v>0.11964932696691222</v>
      </c>
      <c r="K62" t="str">
        <f>VLOOKUP(C62, customer_dataset!A:D, 4, FALSE)</f>
        <v>Consumer</v>
      </c>
      <c r="L62" t="str">
        <f>VLOOKUP(C62, customer_dataset!A:B, 2, FALSE)</f>
        <v>Vivaan Sharma</v>
      </c>
      <c r="M62">
        <f t="shared" si="1"/>
        <v>56.99</v>
      </c>
    </row>
    <row r="63" spans="1:13">
      <c r="A63">
        <v>1062</v>
      </c>
      <c r="B63" s="1">
        <v>45932</v>
      </c>
      <c r="C63">
        <v>5022</v>
      </c>
      <c r="D63" t="s">
        <v>8</v>
      </c>
      <c r="E63">
        <v>1820.62</v>
      </c>
      <c r="F63">
        <v>9</v>
      </c>
      <c r="G63">
        <v>400.32</v>
      </c>
      <c r="H63">
        <v>0.15</v>
      </c>
      <c r="I63" t="str">
        <f>VLOOKUP(C63, customer_dataset!A:C, 3, FALSE)</f>
        <v>South</v>
      </c>
      <c r="J63">
        <f t="shared" si="0"/>
        <v>0.21988113939207524</v>
      </c>
      <c r="K63" t="str">
        <f>VLOOKUP(C63, customer_dataset!A:D, 4, FALSE)</f>
        <v>Consumer</v>
      </c>
      <c r="L63" t="str">
        <f>VLOOKUP(C63, customer_dataset!A:B, 2, FALSE)</f>
        <v>Vidushi Sharma</v>
      </c>
      <c r="M63">
        <f t="shared" si="1"/>
        <v>44.48</v>
      </c>
    </row>
    <row r="64" spans="1:13">
      <c r="A64">
        <v>1063</v>
      </c>
      <c r="B64" s="1">
        <v>45793</v>
      </c>
      <c r="C64">
        <v>5003</v>
      </c>
      <c r="D64" t="s">
        <v>8</v>
      </c>
      <c r="E64">
        <v>665.17</v>
      </c>
      <c r="F64">
        <v>5</v>
      </c>
      <c r="G64">
        <v>129.81</v>
      </c>
      <c r="H64">
        <v>0.05</v>
      </c>
      <c r="I64" t="str">
        <f>VLOOKUP(C64, customer_dataset!A:C, 3, FALSE)</f>
        <v>North</v>
      </c>
      <c r="J64">
        <f>G64/E64</f>
        <v>0.19515311875159735</v>
      </c>
      <c r="K64" t="str">
        <f>VLOOKUP(C64, customer_dataset!A:D, 4, FALSE)</f>
        <v>Home Office</v>
      </c>
      <c r="L64" t="str">
        <f>VLOOKUP(C64, customer_dataset!A:B, 2, FALSE)</f>
        <v>Karan Verma</v>
      </c>
      <c r="M64">
        <f t="shared" si="1"/>
        <v>25.962</v>
      </c>
    </row>
    <row r="65" spans="1:13">
      <c r="A65">
        <v>1064</v>
      </c>
      <c r="B65" s="1">
        <v>45919</v>
      </c>
      <c r="C65">
        <v>5008</v>
      </c>
      <c r="D65" t="s">
        <v>10</v>
      </c>
      <c r="E65">
        <v>3023.2</v>
      </c>
      <c r="F65">
        <v>6</v>
      </c>
      <c r="G65">
        <v>480.99</v>
      </c>
      <c r="H65">
        <v>0.1</v>
      </c>
      <c r="I65" t="str">
        <f>VLOOKUP(C65, customer_dataset!A:C, 3, FALSE)</f>
        <v>East</v>
      </c>
      <c r="J65">
        <f t="shared" si="0"/>
        <v>0.15909962953162213</v>
      </c>
      <c r="K65" t="str">
        <f>VLOOKUP(C65, customer_dataset!A:D, 4, FALSE)</f>
        <v>Corporate</v>
      </c>
      <c r="L65" t="str">
        <f>VLOOKUP(C65, customer_dataset!A:B, 2, FALSE)</f>
        <v>Karan Agarwal</v>
      </c>
      <c r="M65">
        <f t="shared" si="1"/>
        <v>80.165000000000006</v>
      </c>
    </row>
    <row r="66" spans="1:13">
      <c r="A66">
        <v>1065</v>
      </c>
      <c r="B66" s="1">
        <v>45881</v>
      </c>
      <c r="C66">
        <v>5001</v>
      </c>
      <c r="D66" t="s">
        <v>9</v>
      </c>
      <c r="E66">
        <v>4507.57</v>
      </c>
      <c r="F66">
        <v>4</v>
      </c>
      <c r="G66">
        <v>275.39999999999998</v>
      </c>
      <c r="H66">
        <v>0.1</v>
      </c>
      <c r="I66" t="str">
        <f>VLOOKUP(C66, customer_dataset!A:C, 3, FALSE)</f>
        <v>North</v>
      </c>
      <c r="J66">
        <f t="shared" si="0"/>
        <v>6.1097220897290555E-2</v>
      </c>
      <c r="K66" t="str">
        <f>VLOOKUP(C66, customer_dataset!A:D, 4, FALSE)</f>
        <v>Home Office</v>
      </c>
      <c r="L66" t="str">
        <f>VLOOKUP(C66, customer_dataset!A:B, 2, FALSE)</f>
        <v>Sneha Verma</v>
      </c>
      <c r="M66">
        <f t="shared" si="1"/>
        <v>68.849999999999994</v>
      </c>
    </row>
    <row r="67" spans="1:13">
      <c r="A67">
        <v>1066</v>
      </c>
      <c r="B67" s="1">
        <v>45693</v>
      </c>
      <c r="C67">
        <v>5043</v>
      </c>
      <c r="D67" t="s">
        <v>10</v>
      </c>
      <c r="E67">
        <v>4635.32</v>
      </c>
      <c r="F67">
        <v>9</v>
      </c>
      <c r="G67">
        <v>653.84</v>
      </c>
      <c r="H67">
        <v>0.05</v>
      </c>
      <c r="I67" t="str">
        <f>VLOOKUP(C67, customer_dataset!A:C, 3, FALSE)</f>
        <v>South</v>
      </c>
      <c r="J67">
        <f t="shared" ref="J67:J95" si="2">G67/E67</f>
        <v>0.14105606516917926</v>
      </c>
      <c r="K67" t="str">
        <f>VLOOKUP(C67, customer_dataset!A:D, 4, FALSE)</f>
        <v>Corporate</v>
      </c>
      <c r="L67" t="str">
        <f>VLOOKUP(C67, customer_dataset!A:B, 2, FALSE)</f>
        <v>Sneha Jain</v>
      </c>
      <c r="M67">
        <f t="shared" ref="M67:M101" si="3">IF(F67=0, 0, G67/F67)</f>
        <v>72.648888888888891</v>
      </c>
    </row>
    <row r="68" spans="1:13">
      <c r="A68">
        <v>1067</v>
      </c>
      <c r="B68" s="1">
        <v>45999</v>
      </c>
      <c r="C68">
        <v>5027</v>
      </c>
      <c r="D68" t="s">
        <v>10</v>
      </c>
      <c r="E68">
        <v>3153.46</v>
      </c>
      <c r="F68">
        <v>2</v>
      </c>
      <c r="G68">
        <v>557.47</v>
      </c>
      <c r="H68">
        <v>0.1</v>
      </c>
      <c r="I68" t="str">
        <f>VLOOKUP(C68, customer_dataset!A:C, 3, FALSE)</f>
        <v>West</v>
      </c>
      <c r="J68">
        <f t="shared" si="2"/>
        <v>0.17678042531061119</v>
      </c>
      <c r="K68" t="str">
        <f>VLOOKUP(C68, customer_dataset!A:D, 4, FALSE)</f>
        <v>Home Office</v>
      </c>
      <c r="L68" t="str">
        <f>VLOOKUP(C68, customer_dataset!A:B, 2, FALSE)</f>
        <v>Rahul Mishra</v>
      </c>
      <c r="M68">
        <f t="shared" si="3"/>
        <v>278.73500000000001</v>
      </c>
    </row>
    <row r="69" spans="1:13">
      <c r="A69">
        <v>1068</v>
      </c>
      <c r="B69" s="1">
        <v>45873</v>
      </c>
      <c r="C69">
        <v>5043</v>
      </c>
      <c r="D69" t="s">
        <v>10</v>
      </c>
      <c r="E69">
        <v>2071.7600000000002</v>
      </c>
      <c r="F69">
        <v>5</v>
      </c>
      <c r="G69">
        <v>169.52</v>
      </c>
      <c r="H69">
        <v>0.2</v>
      </c>
      <c r="I69" t="str">
        <f>VLOOKUP(C69, customer_dataset!A:C, 3, FALSE)</f>
        <v>South</v>
      </c>
      <c r="J69">
        <f t="shared" si="2"/>
        <v>8.1824149515387884E-2</v>
      </c>
      <c r="K69" t="str">
        <f>VLOOKUP(C69, customer_dataset!A:D, 4, FALSE)</f>
        <v>Corporate</v>
      </c>
      <c r="L69" t="str">
        <f>VLOOKUP(C69, customer_dataset!A:B, 2, FALSE)</f>
        <v>Sneha Jain</v>
      </c>
      <c r="M69">
        <f t="shared" si="3"/>
        <v>33.904000000000003</v>
      </c>
    </row>
    <row r="70" spans="1:13">
      <c r="A70">
        <v>1069</v>
      </c>
      <c r="B70" s="1">
        <v>45865</v>
      </c>
      <c r="C70">
        <v>5036</v>
      </c>
      <c r="D70" t="s">
        <v>8</v>
      </c>
      <c r="E70">
        <v>3418.86</v>
      </c>
      <c r="F70">
        <v>3</v>
      </c>
      <c r="G70">
        <v>657.37</v>
      </c>
      <c r="H70">
        <v>0.2</v>
      </c>
      <c r="I70" t="str">
        <f>VLOOKUP(C70, customer_dataset!A:C, 3, FALSE)</f>
        <v>South</v>
      </c>
      <c r="J70">
        <f t="shared" si="2"/>
        <v>0.19227754280666653</v>
      </c>
      <c r="K70" t="str">
        <f>VLOOKUP(C70, customer_dataset!A:D, 4, FALSE)</f>
        <v>Home Office</v>
      </c>
      <c r="L70" t="str">
        <f>VLOOKUP(C70, customer_dataset!A:B, 2, FALSE)</f>
        <v>Karan Mishra</v>
      </c>
      <c r="M70">
        <f t="shared" si="3"/>
        <v>219.12333333333333</v>
      </c>
    </row>
    <row r="71" spans="1:13">
      <c r="A71">
        <v>1070</v>
      </c>
      <c r="B71" s="1">
        <v>45968</v>
      </c>
      <c r="C71">
        <v>5042</v>
      </c>
      <c r="D71" t="s">
        <v>10</v>
      </c>
      <c r="E71">
        <v>1588.99</v>
      </c>
      <c r="F71">
        <v>4</v>
      </c>
      <c r="G71">
        <v>391.59</v>
      </c>
      <c r="H71">
        <v>0.15</v>
      </c>
      <c r="I71" t="str">
        <f>VLOOKUP(C71, customer_dataset!A:C, 3, FALSE)</f>
        <v>South</v>
      </c>
      <c r="J71">
        <f t="shared" si="2"/>
        <v>0.24643956223764779</v>
      </c>
      <c r="K71" t="str">
        <f>VLOOKUP(C71, customer_dataset!A:D, 4, FALSE)</f>
        <v>Consumer</v>
      </c>
      <c r="L71" t="str">
        <f>VLOOKUP(C71, customer_dataset!A:B, 2, FALSE)</f>
        <v>Neha Verma</v>
      </c>
      <c r="M71">
        <f t="shared" si="3"/>
        <v>97.897499999999994</v>
      </c>
    </row>
    <row r="72" spans="1:13">
      <c r="A72">
        <v>1071</v>
      </c>
      <c r="B72" s="1">
        <v>45744</v>
      </c>
      <c r="C72">
        <v>5043</v>
      </c>
      <c r="D72" t="s">
        <v>8</v>
      </c>
      <c r="E72">
        <v>2378.44</v>
      </c>
      <c r="F72">
        <v>8</v>
      </c>
      <c r="G72">
        <v>422.87</v>
      </c>
      <c r="H72">
        <v>0.05</v>
      </c>
      <c r="I72" t="str">
        <f>VLOOKUP(C72, customer_dataset!A:C, 3, FALSE)</f>
        <v>South</v>
      </c>
      <c r="J72">
        <f t="shared" si="2"/>
        <v>0.17779300718117758</v>
      </c>
      <c r="K72" t="str">
        <f>VLOOKUP(C72, customer_dataset!A:D, 4, FALSE)</f>
        <v>Corporate</v>
      </c>
      <c r="L72" t="str">
        <f>VLOOKUP(C72, customer_dataset!A:B, 2, FALSE)</f>
        <v>Sneha Jain</v>
      </c>
      <c r="M72">
        <f t="shared" si="3"/>
        <v>52.858750000000001</v>
      </c>
    </row>
    <row r="73" spans="1:13">
      <c r="A73">
        <v>1072</v>
      </c>
      <c r="B73" s="1">
        <v>45778</v>
      </c>
      <c r="C73">
        <v>5044</v>
      </c>
      <c r="D73" t="s">
        <v>10</v>
      </c>
      <c r="E73">
        <v>1490.55</v>
      </c>
      <c r="F73">
        <v>10</v>
      </c>
      <c r="G73">
        <v>109.33</v>
      </c>
      <c r="H73">
        <v>0.1</v>
      </c>
      <c r="I73" t="str">
        <f>VLOOKUP(C73, customer_dataset!A:C, 3, FALSE)</f>
        <v>South</v>
      </c>
      <c r="J73">
        <f t="shared" si="2"/>
        <v>7.3348763879105036E-2</v>
      </c>
      <c r="K73" t="str">
        <f>VLOOKUP(C73, customer_dataset!A:D, 4, FALSE)</f>
        <v>Home Office</v>
      </c>
      <c r="L73" t="str">
        <f>VLOOKUP(C73, customer_dataset!A:B, 2, FALSE)</f>
        <v>Rahul Agarwal</v>
      </c>
      <c r="M73">
        <f t="shared" si="3"/>
        <v>10.933</v>
      </c>
    </row>
    <row r="74" spans="1:13">
      <c r="A74">
        <v>1073</v>
      </c>
      <c r="B74" s="1">
        <v>45783</v>
      </c>
      <c r="C74">
        <v>5031</v>
      </c>
      <c r="D74" t="s">
        <v>9</v>
      </c>
      <c r="E74">
        <v>1200.74</v>
      </c>
      <c r="F74">
        <v>4</v>
      </c>
      <c r="G74">
        <v>67.37</v>
      </c>
      <c r="H74">
        <v>0.05</v>
      </c>
      <c r="I74" t="str">
        <f>VLOOKUP(C74, customer_dataset!A:C, 3, FALSE)</f>
        <v>West</v>
      </c>
      <c r="J74">
        <f t="shared" si="2"/>
        <v>5.6107067308493103E-2</v>
      </c>
      <c r="K74" t="str">
        <f>VLOOKUP(C74, customer_dataset!A:D, 4, FALSE)</f>
        <v>Corporate</v>
      </c>
      <c r="L74" t="str">
        <f>VLOOKUP(C74, customer_dataset!A:B, 2, FALSE)</f>
        <v>Riya Verma</v>
      </c>
      <c r="M74">
        <f t="shared" si="3"/>
        <v>16.842500000000001</v>
      </c>
    </row>
    <row r="75" spans="1:13">
      <c r="A75">
        <v>1074</v>
      </c>
      <c r="B75" s="1">
        <v>45980</v>
      </c>
      <c r="C75">
        <v>5037</v>
      </c>
      <c r="D75" t="s">
        <v>8</v>
      </c>
      <c r="E75">
        <v>4263.71</v>
      </c>
      <c r="F75">
        <v>2</v>
      </c>
      <c r="G75">
        <v>654.95000000000005</v>
      </c>
      <c r="H75">
        <v>0.15</v>
      </c>
      <c r="I75" t="str">
        <f>VLOOKUP(C75, customer_dataset!A:C, 3, FALSE)</f>
        <v>South</v>
      </c>
      <c r="J75">
        <f t="shared" si="2"/>
        <v>0.15361035342459972</v>
      </c>
      <c r="K75" t="str">
        <f>VLOOKUP(C75, customer_dataset!A:D, 4, FALSE)</f>
        <v>Consumer</v>
      </c>
      <c r="L75" t="str">
        <f>VLOOKUP(C75, customer_dataset!A:B, 2, FALSE)</f>
        <v>Vivaan Mishra</v>
      </c>
      <c r="M75">
        <f t="shared" si="3"/>
        <v>327.47500000000002</v>
      </c>
    </row>
    <row r="76" spans="1:13">
      <c r="A76">
        <v>1075</v>
      </c>
      <c r="B76" s="1">
        <v>45733</v>
      </c>
      <c r="C76">
        <v>5042</v>
      </c>
      <c r="D76" t="s">
        <v>9</v>
      </c>
      <c r="E76">
        <v>3619.89</v>
      </c>
      <c r="F76">
        <v>7</v>
      </c>
      <c r="G76">
        <v>542.66999999999996</v>
      </c>
      <c r="H76">
        <v>0.15</v>
      </c>
      <c r="I76" t="str">
        <f>VLOOKUP(C76, customer_dataset!A:C, 3, FALSE)</f>
        <v>South</v>
      </c>
      <c r="J76">
        <f t="shared" si="2"/>
        <v>0.14991339515841642</v>
      </c>
      <c r="K76" t="str">
        <f>VLOOKUP(C76, customer_dataset!A:D, 4, FALSE)</f>
        <v>Consumer</v>
      </c>
      <c r="L76" t="str">
        <f>VLOOKUP(C76, customer_dataset!A:B, 2, FALSE)</f>
        <v>Neha Verma</v>
      </c>
      <c r="M76">
        <f t="shared" si="3"/>
        <v>77.52428571428571</v>
      </c>
    </row>
    <row r="77" spans="1:13">
      <c r="A77">
        <v>1076</v>
      </c>
      <c r="B77" s="1">
        <v>46014</v>
      </c>
      <c r="C77">
        <v>5034</v>
      </c>
      <c r="D77" t="s">
        <v>10</v>
      </c>
      <c r="E77">
        <v>127.17</v>
      </c>
      <c r="F77">
        <v>2</v>
      </c>
      <c r="G77">
        <v>13.32</v>
      </c>
      <c r="H77">
        <v>0.15</v>
      </c>
      <c r="I77" t="str">
        <f>VLOOKUP(C77, customer_dataset!A:C, 3, FALSE)</f>
        <v>East</v>
      </c>
      <c r="J77">
        <f t="shared" si="2"/>
        <v>0.10474168435951875</v>
      </c>
      <c r="K77" t="str">
        <f>VLOOKUP(C77, customer_dataset!A:D, 4, FALSE)</f>
        <v>Corporate</v>
      </c>
      <c r="L77" t="str">
        <f>VLOOKUP(C77, customer_dataset!A:B, 2, FALSE)</f>
        <v>Vidushi Verma</v>
      </c>
      <c r="M77">
        <f t="shared" si="3"/>
        <v>6.66</v>
      </c>
    </row>
    <row r="78" spans="1:13">
      <c r="A78">
        <v>1077</v>
      </c>
      <c r="B78" s="1">
        <v>45895</v>
      </c>
      <c r="C78">
        <v>5043</v>
      </c>
      <c r="D78" t="s">
        <v>9</v>
      </c>
      <c r="E78">
        <v>346.07</v>
      </c>
      <c r="F78">
        <v>4</v>
      </c>
      <c r="G78">
        <v>56.8</v>
      </c>
      <c r="H78">
        <v>0</v>
      </c>
      <c r="I78" t="str">
        <f>VLOOKUP(C78, customer_dataset!A:C, 3, FALSE)</f>
        <v>South</v>
      </c>
      <c r="J78">
        <f t="shared" si="2"/>
        <v>0.1641286444938885</v>
      </c>
      <c r="K78" t="str">
        <f>VLOOKUP(C78, customer_dataset!A:D, 4, FALSE)</f>
        <v>Corporate</v>
      </c>
      <c r="L78" t="str">
        <f>VLOOKUP(C78, customer_dataset!A:B, 2, FALSE)</f>
        <v>Sneha Jain</v>
      </c>
      <c r="M78">
        <f t="shared" si="3"/>
        <v>14.2</v>
      </c>
    </row>
    <row r="79" spans="1:13">
      <c r="A79">
        <v>1078</v>
      </c>
      <c r="B79" s="1">
        <v>45884</v>
      </c>
      <c r="C79">
        <v>5040</v>
      </c>
      <c r="D79" t="s">
        <v>9</v>
      </c>
      <c r="E79">
        <v>4940.67</v>
      </c>
      <c r="F79">
        <v>10</v>
      </c>
      <c r="G79">
        <v>1420.49</v>
      </c>
      <c r="H79">
        <v>0.1</v>
      </c>
      <c r="I79" t="str">
        <f>VLOOKUP(C79, customer_dataset!A:C, 3, FALSE)</f>
        <v>South</v>
      </c>
      <c r="J79">
        <f t="shared" si="2"/>
        <v>0.28750958878046906</v>
      </c>
      <c r="K79" t="str">
        <f>VLOOKUP(C79, customer_dataset!A:D, 4, FALSE)</f>
        <v>Consumer</v>
      </c>
      <c r="L79" t="str">
        <f>VLOOKUP(C79, customer_dataset!A:B, 2, FALSE)</f>
        <v>Vidushi Mishra</v>
      </c>
      <c r="M79">
        <f t="shared" si="3"/>
        <v>142.04900000000001</v>
      </c>
    </row>
    <row r="80" spans="1:13">
      <c r="A80">
        <v>1079</v>
      </c>
      <c r="B80" s="1">
        <v>45739</v>
      </c>
      <c r="C80">
        <v>5048</v>
      </c>
      <c r="D80" t="s">
        <v>10</v>
      </c>
      <c r="E80">
        <v>4470.8999999999996</v>
      </c>
      <c r="F80">
        <v>7</v>
      </c>
      <c r="G80">
        <v>721.95</v>
      </c>
      <c r="H80">
        <v>0.2</v>
      </c>
      <c r="I80" t="str">
        <f>VLOOKUP(C80, customer_dataset!A:C, 3, FALSE)</f>
        <v>North</v>
      </c>
      <c r="J80">
        <f t="shared" si="2"/>
        <v>0.16147755485472726</v>
      </c>
      <c r="K80" t="str">
        <f>VLOOKUP(C80, customer_dataset!A:D, 4, FALSE)</f>
        <v>Home Office</v>
      </c>
      <c r="L80" t="str">
        <f>VLOOKUP(C80, customer_dataset!A:B, 2, FALSE)</f>
        <v>Vivaan Yadav</v>
      </c>
      <c r="M80">
        <f t="shared" si="3"/>
        <v>103.13571428571429</v>
      </c>
    </row>
    <row r="81" spans="1:13">
      <c r="A81">
        <v>1080</v>
      </c>
      <c r="B81" s="1">
        <v>45924</v>
      </c>
      <c r="C81">
        <v>5032</v>
      </c>
      <c r="D81" t="s">
        <v>9</v>
      </c>
      <c r="E81">
        <v>2305.34</v>
      </c>
      <c r="F81">
        <v>4</v>
      </c>
      <c r="G81">
        <v>556.63</v>
      </c>
      <c r="H81">
        <v>0.1</v>
      </c>
      <c r="I81" t="str">
        <f>VLOOKUP(C81, customer_dataset!A:C, 3, FALSE)</f>
        <v>East</v>
      </c>
      <c r="J81">
        <f t="shared" si="2"/>
        <v>0.24145245386797606</v>
      </c>
      <c r="K81" t="str">
        <f>VLOOKUP(C81, customer_dataset!A:D, 4, FALSE)</f>
        <v>Home Office</v>
      </c>
      <c r="L81" t="str">
        <f>VLOOKUP(C81, customer_dataset!A:B, 2, FALSE)</f>
        <v>Amit Jain</v>
      </c>
      <c r="M81">
        <f t="shared" si="3"/>
        <v>139.1575</v>
      </c>
    </row>
    <row r="82" spans="1:13">
      <c r="A82">
        <v>1081</v>
      </c>
      <c r="B82" s="1">
        <v>45778</v>
      </c>
      <c r="C82">
        <v>5018</v>
      </c>
      <c r="D82" t="s">
        <v>10</v>
      </c>
      <c r="E82">
        <v>1272.3</v>
      </c>
      <c r="F82">
        <v>8</v>
      </c>
      <c r="G82">
        <v>290.58</v>
      </c>
      <c r="H82">
        <v>0</v>
      </c>
      <c r="I82" t="str">
        <f>VLOOKUP(C82, customer_dataset!A:C, 3, FALSE)</f>
        <v>East</v>
      </c>
      <c r="J82">
        <f t="shared" si="2"/>
        <v>0.22838953077104457</v>
      </c>
      <c r="K82" t="str">
        <f>VLOOKUP(C82, customer_dataset!A:D, 4, FALSE)</f>
        <v>Home Office</v>
      </c>
      <c r="L82" t="str">
        <f>VLOOKUP(C82, customer_dataset!A:B, 2, FALSE)</f>
        <v>Vidushi Singh</v>
      </c>
      <c r="M82">
        <f t="shared" si="3"/>
        <v>36.322499999999998</v>
      </c>
    </row>
    <row r="83" spans="1:13">
      <c r="A83">
        <v>1082</v>
      </c>
      <c r="B83" s="1">
        <v>45776</v>
      </c>
      <c r="C83">
        <v>5025</v>
      </c>
      <c r="D83" t="s">
        <v>9</v>
      </c>
      <c r="E83">
        <v>1666.58</v>
      </c>
      <c r="F83">
        <v>9</v>
      </c>
      <c r="G83">
        <v>140.97999999999999</v>
      </c>
      <c r="H83">
        <v>0</v>
      </c>
      <c r="I83" t="str">
        <f>VLOOKUP(C83, customer_dataset!A:C, 3, FALSE)</f>
        <v>West</v>
      </c>
      <c r="J83">
        <f t="shared" si="2"/>
        <v>8.4592398804737845E-2</v>
      </c>
      <c r="K83" t="str">
        <f>VLOOKUP(C83, customer_dataset!A:D, 4, FALSE)</f>
        <v>Consumer</v>
      </c>
      <c r="L83" t="str">
        <f>VLOOKUP(C83, customer_dataset!A:B, 2, FALSE)</f>
        <v>Neha Agarwal</v>
      </c>
      <c r="M83">
        <f t="shared" si="3"/>
        <v>15.664444444444444</v>
      </c>
    </row>
    <row r="84" spans="1:13">
      <c r="A84">
        <v>1083</v>
      </c>
      <c r="B84" s="1">
        <v>45827</v>
      </c>
      <c r="C84">
        <v>5035</v>
      </c>
      <c r="D84" t="s">
        <v>10</v>
      </c>
      <c r="E84">
        <v>848.75</v>
      </c>
      <c r="F84">
        <v>4</v>
      </c>
      <c r="G84">
        <v>130.47</v>
      </c>
      <c r="H84">
        <v>0</v>
      </c>
      <c r="I84" t="str">
        <f>VLOOKUP(C84, customer_dataset!A:C, 3, FALSE)</f>
        <v>North</v>
      </c>
      <c r="J84">
        <f t="shared" si="2"/>
        <v>0.15372017673048602</v>
      </c>
      <c r="K84" t="str">
        <f>VLOOKUP(C84, customer_dataset!A:D, 4, FALSE)</f>
        <v>Home Office</v>
      </c>
      <c r="L84" t="str">
        <f>VLOOKUP(C84, customer_dataset!A:B, 2, FALSE)</f>
        <v>Aditya Jain</v>
      </c>
      <c r="M84">
        <f t="shared" si="3"/>
        <v>32.6175</v>
      </c>
    </row>
    <row r="85" spans="1:13">
      <c r="A85">
        <v>1084</v>
      </c>
      <c r="B85" s="1">
        <v>45957</v>
      </c>
      <c r="C85">
        <v>5045</v>
      </c>
      <c r="D85" t="s">
        <v>8</v>
      </c>
      <c r="E85">
        <v>2137.29</v>
      </c>
      <c r="F85">
        <v>4</v>
      </c>
      <c r="G85">
        <v>314.97000000000003</v>
      </c>
      <c r="H85">
        <v>0.15</v>
      </c>
      <c r="I85" t="str">
        <f>VLOOKUP(C85, customer_dataset!A:C, 3, FALSE)</f>
        <v>East</v>
      </c>
      <c r="J85">
        <f t="shared" si="2"/>
        <v>0.14736886430947604</v>
      </c>
      <c r="K85" t="str">
        <f>VLOOKUP(C85, customer_dataset!A:D, 4, FALSE)</f>
        <v>Corporate</v>
      </c>
      <c r="L85" t="str">
        <f>VLOOKUP(C85, customer_dataset!A:B, 2, FALSE)</f>
        <v>Karan Singh</v>
      </c>
      <c r="M85">
        <f t="shared" si="3"/>
        <v>78.742500000000007</v>
      </c>
    </row>
    <row r="86" spans="1:13">
      <c r="A86">
        <v>1085</v>
      </c>
      <c r="B86" s="1">
        <v>45838</v>
      </c>
      <c r="C86">
        <v>5020</v>
      </c>
      <c r="D86" t="s">
        <v>10</v>
      </c>
      <c r="E86">
        <v>4297.99</v>
      </c>
      <c r="F86">
        <v>10</v>
      </c>
      <c r="G86">
        <v>727.41</v>
      </c>
      <c r="H86">
        <v>0.15</v>
      </c>
      <c r="I86" t="str">
        <f>VLOOKUP(C86, customer_dataset!A:C, 3, FALSE)</f>
        <v>South</v>
      </c>
      <c r="J86">
        <f t="shared" si="2"/>
        <v>0.16924422811593326</v>
      </c>
      <c r="K86" t="str">
        <f>VLOOKUP(C86, customer_dataset!A:D, 4, FALSE)</f>
        <v>Corporate</v>
      </c>
      <c r="L86" t="str">
        <f>VLOOKUP(C86, customer_dataset!A:B, 2, FALSE)</f>
        <v>Karan Singh</v>
      </c>
      <c r="M86">
        <f t="shared" si="3"/>
        <v>72.741</v>
      </c>
    </row>
    <row r="87" spans="1:13">
      <c r="A87">
        <v>1086</v>
      </c>
      <c r="B87" s="1">
        <v>45937</v>
      </c>
      <c r="C87">
        <v>5039</v>
      </c>
      <c r="D87" t="s">
        <v>8</v>
      </c>
      <c r="E87">
        <v>4281.8900000000003</v>
      </c>
      <c r="F87">
        <v>7</v>
      </c>
      <c r="G87">
        <v>1014.29</v>
      </c>
      <c r="H87">
        <v>0.2</v>
      </c>
      <c r="I87" t="str">
        <f>VLOOKUP(C87, customer_dataset!A:C, 3, FALSE)</f>
        <v>North</v>
      </c>
      <c r="J87">
        <f t="shared" si="2"/>
        <v>0.23687904173157179</v>
      </c>
      <c r="K87" t="str">
        <f>VLOOKUP(C87, customer_dataset!A:D, 4, FALSE)</f>
        <v>Consumer</v>
      </c>
      <c r="L87" t="str">
        <f>VLOOKUP(C87, customer_dataset!A:B, 2, FALSE)</f>
        <v>Vidushi Jain</v>
      </c>
      <c r="M87">
        <f t="shared" si="3"/>
        <v>144.89857142857142</v>
      </c>
    </row>
    <row r="88" spans="1:13">
      <c r="A88">
        <v>1087</v>
      </c>
      <c r="B88" s="1">
        <v>45857</v>
      </c>
      <c r="C88">
        <v>5022</v>
      </c>
      <c r="D88" t="s">
        <v>9</v>
      </c>
      <c r="E88">
        <v>2492.3200000000002</v>
      </c>
      <c r="F88">
        <v>5</v>
      </c>
      <c r="G88">
        <v>427.21</v>
      </c>
      <c r="H88">
        <v>0.15</v>
      </c>
      <c r="I88" t="str">
        <f>VLOOKUP(C88, customer_dataset!A:C, 3, FALSE)</f>
        <v>South</v>
      </c>
      <c r="J88">
        <f t="shared" si="2"/>
        <v>0.17141057328111958</v>
      </c>
      <c r="K88" t="str">
        <f>VLOOKUP(C88, customer_dataset!A:D, 4, FALSE)</f>
        <v>Consumer</v>
      </c>
      <c r="L88" t="str">
        <f>VLOOKUP(C88, customer_dataset!A:B, 2, FALSE)</f>
        <v>Vidushi Sharma</v>
      </c>
      <c r="M88">
        <f t="shared" si="3"/>
        <v>85.441999999999993</v>
      </c>
    </row>
    <row r="89" spans="1:13">
      <c r="A89">
        <v>1088</v>
      </c>
      <c r="B89" s="1">
        <v>45723</v>
      </c>
      <c r="C89">
        <v>5040</v>
      </c>
      <c r="D89" t="s">
        <v>9</v>
      </c>
      <c r="E89">
        <v>3427.8</v>
      </c>
      <c r="F89">
        <v>7</v>
      </c>
      <c r="G89">
        <v>891.66</v>
      </c>
      <c r="H89">
        <v>0.05</v>
      </c>
      <c r="I89" t="str">
        <f>VLOOKUP(C89, customer_dataset!A:C, 3, FALSE)</f>
        <v>South</v>
      </c>
      <c r="J89">
        <f t="shared" si="2"/>
        <v>0.26012602835638016</v>
      </c>
      <c r="K89" t="str">
        <f>VLOOKUP(C89, customer_dataset!A:D, 4, FALSE)</f>
        <v>Consumer</v>
      </c>
      <c r="L89" t="str">
        <f>VLOOKUP(C89, customer_dataset!A:B, 2, FALSE)</f>
        <v>Vidushi Mishra</v>
      </c>
      <c r="M89">
        <f t="shared" si="3"/>
        <v>127.38</v>
      </c>
    </row>
    <row r="90" spans="1:13">
      <c r="A90">
        <v>1089</v>
      </c>
      <c r="B90" s="1">
        <v>45671</v>
      </c>
      <c r="C90">
        <v>5006</v>
      </c>
      <c r="D90" t="s">
        <v>9</v>
      </c>
      <c r="E90">
        <v>232.14</v>
      </c>
      <c r="F90">
        <v>7</v>
      </c>
      <c r="G90">
        <v>44.36</v>
      </c>
      <c r="H90">
        <v>0.2</v>
      </c>
      <c r="I90" t="str">
        <f>VLOOKUP(C90, customer_dataset!A:C, 3, FALSE)</f>
        <v>South</v>
      </c>
      <c r="J90">
        <f t="shared" si="2"/>
        <v>0.19109158266563281</v>
      </c>
      <c r="K90" t="str">
        <f>VLOOKUP(C90, customer_dataset!A:D, 4, FALSE)</f>
        <v>Corporate</v>
      </c>
      <c r="L90" t="str">
        <f>VLOOKUP(C90, customer_dataset!A:B, 2, FALSE)</f>
        <v>Ananya Agarwal</v>
      </c>
      <c r="M90">
        <f t="shared" si="3"/>
        <v>6.3371428571428572</v>
      </c>
    </row>
    <row r="91" spans="1:13">
      <c r="A91">
        <v>1090</v>
      </c>
      <c r="B91" s="1">
        <v>45852</v>
      </c>
      <c r="C91">
        <v>5021</v>
      </c>
      <c r="D91" t="s">
        <v>8</v>
      </c>
      <c r="E91">
        <v>2200.1999999999998</v>
      </c>
      <c r="F91">
        <v>8</v>
      </c>
      <c r="G91">
        <v>137.66999999999999</v>
      </c>
      <c r="H91">
        <v>0.05</v>
      </c>
      <c r="I91" t="str">
        <f>VLOOKUP(C91, customer_dataset!A:C, 3, FALSE)</f>
        <v>South</v>
      </c>
      <c r="J91">
        <f t="shared" si="2"/>
        <v>6.2571584401418051E-2</v>
      </c>
      <c r="K91" t="str">
        <f>VLOOKUP(C91, customer_dataset!A:D, 4, FALSE)</f>
        <v>Home Office</v>
      </c>
      <c r="L91" t="str">
        <f>VLOOKUP(C91, customer_dataset!A:B, 2, FALSE)</f>
        <v>Riya Mishra</v>
      </c>
      <c r="M91">
        <f t="shared" si="3"/>
        <v>17.208749999999998</v>
      </c>
    </row>
    <row r="92" spans="1:13">
      <c r="A92">
        <v>1091</v>
      </c>
      <c r="B92" s="1">
        <v>45873</v>
      </c>
      <c r="C92">
        <v>5017</v>
      </c>
      <c r="D92" t="s">
        <v>8</v>
      </c>
      <c r="E92">
        <v>2328.0300000000002</v>
      </c>
      <c r="F92">
        <v>6</v>
      </c>
      <c r="G92">
        <v>278.35000000000002</v>
      </c>
      <c r="H92">
        <v>0.15</v>
      </c>
      <c r="I92" t="str">
        <f>VLOOKUP(C92, customer_dataset!A:C, 3, FALSE)</f>
        <v>South</v>
      </c>
      <c r="J92">
        <f t="shared" si="2"/>
        <v>0.11956461042168701</v>
      </c>
      <c r="K92" t="str">
        <f>VLOOKUP(C92, customer_dataset!A:D, 4, FALSE)</f>
        <v>Corporate</v>
      </c>
      <c r="L92" t="str">
        <f>VLOOKUP(C92, customer_dataset!A:B, 2, FALSE)</f>
        <v>Sneha Yadav</v>
      </c>
      <c r="M92">
        <f t="shared" si="3"/>
        <v>46.391666666666673</v>
      </c>
    </row>
    <row r="93" spans="1:13">
      <c r="A93">
        <v>1092</v>
      </c>
      <c r="B93" s="1">
        <v>45837</v>
      </c>
      <c r="C93">
        <v>5015</v>
      </c>
      <c r="D93" t="s">
        <v>9</v>
      </c>
      <c r="E93">
        <v>2404.5</v>
      </c>
      <c r="F93">
        <v>9</v>
      </c>
      <c r="G93">
        <v>721.29</v>
      </c>
      <c r="H93">
        <v>0</v>
      </c>
      <c r="I93" t="str">
        <f>VLOOKUP(C93, customer_dataset!A:C, 3, FALSE)</f>
        <v>North</v>
      </c>
      <c r="J93">
        <f t="shared" si="2"/>
        <v>0.29997504678727382</v>
      </c>
      <c r="K93" t="str">
        <f>VLOOKUP(C93, customer_dataset!A:D, 4, FALSE)</f>
        <v>Consumer</v>
      </c>
      <c r="L93" t="str">
        <f>VLOOKUP(C93, customer_dataset!A:B, 2, FALSE)</f>
        <v>Ananya Mishra</v>
      </c>
      <c r="M93">
        <f t="shared" si="3"/>
        <v>80.143333333333331</v>
      </c>
    </row>
    <row r="94" spans="1:13">
      <c r="A94">
        <v>1093</v>
      </c>
      <c r="B94" s="1">
        <v>45760</v>
      </c>
      <c r="C94">
        <v>5002</v>
      </c>
      <c r="D94" t="s">
        <v>9</v>
      </c>
      <c r="E94">
        <v>436.23</v>
      </c>
      <c r="F94">
        <v>1</v>
      </c>
      <c r="G94">
        <v>125.37</v>
      </c>
      <c r="H94">
        <v>0</v>
      </c>
      <c r="I94" t="str">
        <f>VLOOKUP(C94, customer_dataset!A:C, 3, FALSE)</f>
        <v>South</v>
      </c>
      <c r="J94">
        <f t="shared" si="2"/>
        <v>0.28739426449350114</v>
      </c>
      <c r="K94" t="str">
        <f>VLOOKUP(C94, customer_dataset!A:D, 4, FALSE)</f>
        <v>Consumer</v>
      </c>
      <c r="L94" t="str">
        <f>VLOOKUP(C94, customer_dataset!A:B, 2, FALSE)</f>
        <v>Priya Singh</v>
      </c>
      <c r="M94">
        <f t="shared" si="3"/>
        <v>125.37</v>
      </c>
    </row>
    <row r="95" spans="1:13">
      <c r="A95">
        <v>1094</v>
      </c>
      <c r="B95" s="1">
        <v>45946</v>
      </c>
      <c r="C95">
        <v>5014</v>
      </c>
      <c r="D95" t="s">
        <v>10</v>
      </c>
      <c r="E95">
        <v>846.67</v>
      </c>
      <c r="F95">
        <v>3</v>
      </c>
      <c r="G95">
        <v>184.04</v>
      </c>
      <c r="H95">
        <v>0.15</v>
      </c>
      <c r="I95" t="str">
        <f>VLOOKUP(C95, customer_dataset!A:C, 3, FALSE)</f>
        <v>North</v>
      </c>
      <c r="J95">
        <f t="shared" si="2"/>
        <v>0.21736922295581512</v>
      </c>
      <c r="K95" t="str">
        <f>VLOOKUP(C95, customer_dataset!A:D, 4, FALSE)</f>
        <v>Home Office</v>
      </c>
      <c r="L95" t="str">
        <f>VLOOKUP(C95, customer_dataset!A:B, 2, FALSE)</f>
        <v>Ananya Verma</v>
      </c>
      <c r="M95">
        <f t="shared" si="3"/>
        <v>61.346666666666664</v>
      </c>
    </row>
    <row r="96" spans="1:13">
      <c r="A96">
        <v>1095</v>
      </c>
      <c r="B96" s="1">
        <v>45716</v>
      </c>
      <c r="C96">
        <v>5050</v>
      </c>
      <c r="D96" t="s">
        <v>8</v>
      </c>
      <c r="E96">
        <v>3527.38</v>
      </c>
      <c r="F96">
        <v>6</v>
      </c>
      <c r="G96">
        <v>710.67</v>
      </c>
      <c r="H96">
        <v>0.05</v>
      </c>
      <c r="I96" t="str">
        <f>VLOOKUP(C96, customer_dataset!A:C, 3, FALSE)</f>
        <v>South</v>
      </c>
      <c r="J96">
        <f>G96/E96</f>
        <v>0.20147248099155746</v>
      </c>
      <c r="K96" t="str">
        <f>VLOOKUP(C96, customer_dataset!A:D, 4, FALSE)</f>
        <v>Consumer</v>
      </c>
      <c r="L96" t="str">
        <f>VLOOKUP(C96, customer_dataset!A:B, 2, FALSE)</f>
        <v>Vivaan Sharma</v>
      </c>
      <c r="M96">
        <f t="shared" si="3"/>
        <v>118.44499999999999</v>
      </c>
    </row>
    <row r="97" spans="1:13">
      <c r="A97">
        <v>1096</v>
      </c>
      <c r="B97" s="1">
        <v>45817</v>
      </c>
      <c r="C97">
        <v>5037</v>
      </c>
      <c r="D97" t="s">
        <v>9</v>
      </c>
      <c r="E97">
        <v>4827.13</v>
      </c>
      <c r="F97">
        <v>2</v>
      </c>
      <c r="G97">
        <v>272.33999999999997</v>
      </c>
      <c r="H97">
        <v>0.2</v>
      </c>
      <c r="I97" t="str">
        <f>VLOOKUP(C97, customer_dataset!A:C, 3, FALSE)</f>
        <v>South</v>
      </c>
      <c r="J97">
        <f t="shared" ref="J97:J101" si="4">G97/E97</f>
        <v>5.6418617273618063E-2</v>
      </c>
      <c r="K97" t="str">
        <f>VLOOKUP(C97, customer_dataset!A:D, 4, FALSE)</f>
        <v>Consumer</v>
      </c>
      <c r="L97" t="str">
        <f>VLOOKUP(C97, customer_dataset!A:B, 2, FALSE)</f>
        <v>Vivaan Mishra</v>
      </c>
      <c r="M97">
        <f t="shared" si="3"/>
        <v>136.16999999999999</v>
      </c>
    </row>
    <row r="98" spans="1:13">
      <c r="A98">
        <v>1097</v>
      </c>
      <c r="B98" s="1">
        <v>45759</v>
      </c>
      <c r="C98">
        <v>5005</v>
      </c>
      <c r="D98" t="s">
        <v>9</v>
      </c>
      <c r="E98">
        <v>4549.33</v>
      </c>
      <c r="F98">
        <v>7</v>
      </c>
      <c r="G98">
        <v>1298.23</v>
      </c>
      <c r="H98">
        <v>0.15</v>
      </c>
      <c r="I98" t="str">
        <f>VLOOKUP(C98, customer_dataset!A:C, 3, FALSE)</f>
        <v>North</v>
      </c>
      <c r="J98">
        <f t="shared" si="4"/>
        <v>0.2853672958435638</v>
      </c>
      <c r="K98" t="str">
        <f>VLOOKUP(C98, customer_dataset!A:D, 4, FALSE)</f>
        <v>Home Office</v>
      </c>
      <c r="L98" t="str">
        <f>VLOOKUP(C98, customer_dataset!A:B, 2, FALSE)</f>
        <v>Ananya Singh</v>
      </c>
      <c r="M98">
        <f t="shared" si="3"/>
        <v>185.46142857142857</v>
      </c>
    </row>
    <row r="99" spans="1:13">
      <c r="A99">
        <v>1098</v>
      </c>
      <c r="B99" s="1">
        <v>45812</v>
      </c>
      <c r="C99">
        <v>5044</v>
      </c>
      <c r="D99" t="s">
        <v>9</v>
      </c>
      <c r="E99">
        <v>3484.01</v>
      </c>
      <c r="F99">
        <v>4</v>
      </c>
      <c r="G99">
        <v>781.46</v>
      </c>
      <c r="H99">
        <v>0</v>
      </c>
      <c r="I99" t="str">
        <f>VLOOKUP(C99, customer_dataset!A:C, 3, FALSE)</f>
        <v>South</v>
      </c>
      <c r="J99">
        <f t="shared" si="4"/>
        <v>0.22429901177091913</v>
      </c>
      <c r="K99" t="str">
        <f>VLOOKUP(C99, customer_dataset!A:D, 4, FALSE)</f>
        <v>Home Office</v>
      </c>
      <c r="L99" t="str">
        <f>VLOOKUP(C99, customer_dataset!A:B, 2, FALSE)</f>
        <v>Rahul Agarwal</v>
      </c>
      <c r="M99">
        <f t="shared" si="3"/>
        <v>195.36500000000001</v>
      </c>
    </row>
    <row r="100" spans="1:13">
      <c r="A100">
        <v>1099</v>
      </c>
      <c r="B100" s="1">
        <v>45877</v>
      </c>
      <c r="C100">
        <v>5043</v>
      </c>
      <c r="D100" t="s">
        <v>10</v>
      </c>
      <c r="E100">
        <v>4047.09</v>
      </c>
      <c r="F100">
        <v>10</v>
      </c>
      <c r="G100">
        <v>553.65</v>
      </c>
      <c r="H100">
        <v>0</v>
      </c>
      <c r="I100" t="str">
        <f>VLOOKUP(C100, customer_dataset!A:C, 3, FALSE)</f>
        <v>South</v>
      </c>
      <c r="J100">
        <f t="shared" si="4"/>
        <v>0.13680199847297686</v>
      </c>
      <c r="K100" t="str">
        <f>VLOOKUP(C100, customer_dataset!A:D, 4, FALSE)</f>
        <v>Corporate</v>
      </c>
      <c r="L100" t="str">
        <f>VLOOKUP(C100, customer_dataset!A:B, 2, FALSE)</f>
        <v>Sneha Jain</v>
      </c>
      <c r="M100">
        <f t="shared" si="3"/>
        <v>55.364999999999995</v>
      </c>
    </row>
    <row r="101" spans="1:13">
      <c r="A101">
        <v>1100</v>
      </c>
      <c r="B101" s="1">
        <v>45908</v>
      </c>
      <c r="C101">
        <v>5007</v>
      </c>
      <c r="D101" t="s">
        <v>10</v>
      </c>
      <c r="E101">
        <v>437.89</v>
      </c>
      <c r="F101">
        <v>6</v>
      </c>
      <c r="G101">
        <v>114.9</v>
      </c>
      <c r="H101">
        <v>0</v>
      </c>
      <c r="I101" t="str">
        <f>VLOOKUP(C101, customer_dataset!A:C, 3, FALSE)</f>
        <v>North</v>
      </c>
      <c r="J101">
        <f t="shared" si="4"/>
        <v>0.26239466532690858</v>
      </c>
      <c r="K101" t="str">
        <f>VLOOKUP(C101, customer_dataset!A:D, 4, FALSE)</f>
        <v>Consumer</v>
      </c>
      <c r="L101" t="str">
        <f>VLOOKUP(C101, customer_dataset!A:B, 2, FALSE)</f>
        <v>Amit Mishra</v>
      </c>
      <c r="M101">
        <f t="shared" si="3"/>
        <v>19.150000000000002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zoomScale="85" zoomScaleNormal="85" workbookViewId="0">
      <selection activeCell="F4" sqref="F4"/>
    </sheetView>
  </sheetViews>
  <sheetFormatPr defaultRowHeight="14.4"/>
  <cols>
    <col min="1" max="1" width="11.77734375" customWidth="1"/>
    <col min="2" max="2" width="16.77734375" customWidth="1"/>
    <col min="3" max="3" width="11" customWidth="1"/>
    <col min="4" max="4" width="13" customWidth="1"/>
  </cols>
  <sheetData>
    <row r="1" spans="1:5">
      <c r="A1" s="2" t="s">
        <v>2</v>
      </c>
      <c r="B1" s="2" t="s">
        <v>11</v>
      </c>
      <c r="C1" s="2" t="s">
        <v>12</v>
      </c>
      <c r="D1" s="2" t="s">
        <v>13</v>
      </c>
      <c r="E1" s="2"/>
    </row>
    <row r="2" spans="1:5">
      <c r="A2" s="2">
        <v>5001</v>
      </c>
      <c r="B2" s="2" t="s">
        <v>14</v>
      </c>
      <c r="C2" s="2" t="s">
        <v>15</v>
      </c>
      <c r="D2" s="2" t="s">
        <v>16</v>
      </c>
      <c r="E2" s="2"/>
    </row>
    <row r="3" spans="1:5">
      <c r="A3" s="2">
        <v>5002</v>
      </c>
      <c r="B3" s="2" t="s">
        <v>17</v>
      </c>
      <c r="C3" s="2" t="s">
        <v>18</v>
      </c>
      <c r="D3" s="2" t="s">
        <v>19</v>
      </c>
      <c r="E3" s="2"/>
    </row>
    <row r="4" spans="1:5">
      <c r="A4" s="2">
        <v>5003</v>
      </c>
      <c r="B4" s="2" t="s">
        <v>20</v>
      </c>
      <c r="C4" s="2" t="s">
        <v>15</v>
      </c>
      <c r="D4" s="2" t="s">
        <v>16</v>
      </c>
      <c r="E4" s="2"/>
    </row>
    <row r="5" spans="1:5">
      <c r="A5" s="2">
        <v>5004</v>
      </c>
      <c r="B5" s="2" t="s">
        <v>21</v>
      </c>
      <c r="C5" s="2" t="s">
        <v>15</v>
      </c>
      <c r="D5" s="2" t="s">
        <v>19</v>
      </c>
      <c r="E5" s="2"/>
    </row>
    <row r="6" spans="1:5">
      <c r="A6" s="2">
        <v>5005</v>
      </c>
      <c r="B6" s="2" t="s">
        <v>22</v>
      </c>
      <c r="C6" s="2" t="s">
        <v>15</v>
      </c>
      <c r="D6" s="2" t="s">
        <v>16</v>
      </c>
      <c r="E6" s="2"/>
    </row>
    <row r="7" spans="1:5">
      <c r="A7" s="2">
        <v>5006</v>
      </c>
      <c r="B7" s="2" t="s">
        <v>23</v>
      </c>
      <c r="C7" s="2" t="s">
        <v>18</v>
      </c>
      <c r="D7" s="2" t="s">
        <v>24</v>
      </c>
      <c r="E7" s="2"/>
    </row>
    <row r="8" spans="1:5">
      <c r="A8" s="2">
        <v>5007</v>
      </c>
      <c r="B8" s="2" t="s">
        <v>25</v>
      </c>
      <c r="C8" s="2" t="s">
        <v>15</v>
      </c>
      <c r="D8" s="2" t="s">
        <v>19</v>
      </c>
      <c r="E8" s="2"/>
    </row>
    <row r="9" spans="1:5">
      <c r="A9" s="2">
        <v>5008</v>
      </c>
      <c r="B9" s="2" t="s">
        <v>26</v>
      </c>
      <c r="C9" s="2" t="s">
        <v>27</v>
      </c>
      <c r="D9" s="2" t="s">
        <v>24</v>
      </c>
      <c r="E9" s="2"/>
    </row>
    <row r="10" spans="1:5">
      <c r="A10" s="2">
        <v>5009</v>
      </c>
      <c r="B10" s="2" t="s">
        <v>28</v>
      </c>
      <c r="C10" s="2" t="s">
        <v>27</v>
      </c>
      <c r="D10" s="2" t="s">
        <v>19</v>
      </c>
      <c r="E10" s="2"/>
    </row>
    <row r="11" spans="1:5">
      <c r="A11" s="2">
        <v>5010</v>
      </c>
      <c r="B11" s="2" t="s">
        <v>29</v>
      </c>
      <c r="C11" s="2" t="s">
        <v>15</v>
      </c>
      <c r="D11" s="2" t="s">
        <v>24</v>
      </c>
      <c r="E11" s="2"/>
    </row>
    <row r="12" spans="1:5">
      <c r="A12" s="2">
        <v>5011</v>
      </c>
      <c r="B12" s="2" t="s">
        <v>30</v>
      </c>
      <c r="C12" s="2" t="s">
        <v>15</v>
      </c>
      <c r="D12" s="2" t="s">
        <v>16</v>
      </c>
      <c r="E12" s="2"/>
    </row>
    <row r="13" spans="1:5">
      <c r="A13" s="2">
        <v>5012</v>
      </c>
      <c r="B13" s="2" t="s">
        <v>31</v>
      </c>
      <c r="C13" s="2" t="s">
        <v>32</v>
      </c>
      <c r="D13" s="2" t="s">
        <v>19</v>
      </c>
      <c r="E13" s="2"/>
    </row>
    <row r="14" spans="1:5">
      <c r="A14" s="2">
        <v>5013</v>
      </c>
      <c r="B14" s="2" t="s">
        <v>33</v>
      </c>
      <c r="C14" s="2" t="s">
        <v>27</v>
      </c>
      <c r="D14" s="2" t="s">
        <v>16</v>
      </c>
      <c r="E14" s="2"/>
    </row>
    <row r="15" spans="1:5">
      <c r="A15" s="2">
        <v>5014</v>
      </c>
      <c r="B15" s="2" t="s">
        <v>34</v>
      </c>
      <c r="C15" s="2" t="s">
        <v>15</v>
      </c>
      <c r="D15" s="2" t="s">
        <v>16</v>
      </c>
      <c r="E15" s="2"/>
    </row>
    <row r="16" spans="1:5">
      <c r="A16" s="2">
        <v>5015</v>
      </c>
      <c r="B16" s="2" t="s">
        <v>35</v>
      </c>
      <c r="C16" s="2" t="s">
        <v>15</v>
      </c>
      <c r="D16" s="2" t="s">
        <v>19</v>
      </c>
      <c r="E16" s="2"/>
    </row>
    <row r="17" spans="1:5">
      <c r="A17" s="2">
        <v>5016</v>
      </c>
      <c r="B17" s="2" t="s">
        <v>29</v>
      </c>
      <c r="C17" s="2" t="s">
        <v>27</v>
      </c>
      <c r="D17" s="2" t="s">
        <v>24</v>
      </c>
      <c r="E17" s="2"/>
    </row>
    <row r="18" spans="1:5">
      <c r="A18" s="2">
        <v>5017</v>
      </c>
      <c r="B18" s="2" t="s">
        <v>36</v>
      </c>
      <c r="C18" s="2" t="s">
        <v>18</v>
      </c>
      <c r="D18" s="2" t="s">
        <v>24</v>
      </c>
      <c r="E18" s="2"/>
    </row>
    <row r="19" spans="1:5">
      <c r="A19" s="2">
        <v>5018</v>
      </c>
      <c r="B19" s="2" t="s">
        <v>37</v>
      </c>
      <c r="C19" s="2" t="s">
        <v>27</v>
      </c>
      <c r="D19" s="2" t="s">
        <v>16</v>
      </c>
      <c r="E19" s="2"/>
    </row>
    <row r="20" spans="1:5">
      <c r="A20" s="2">
        <v>5019</v>
      </c>
      <c r="B20" s="2" t="s">
        <v>14</v>
      </c>
      <c r="C20" s="2" t="s">
        <v>18</v>
      </c>
      <c r="D20" s="2" t="s">
        <v>16</v>
      </c>
      <c r="E20" s="2"/>
    </row>
    <row r="21" spans="1:5">
      <c r="A21" s="2">
        <v>5020</v>
      </c>
      <c r="B21" s="2" t="s">
        <v>38</v>
      </c>
      <c r="C21" s="2" t="s">
        <v>18</v>
      </c>
      <c r="D21" s="2" t="s">
        <v>24</v>
      </c>
      <c r="E21" s="2"/>
    </row>
    <row r="22" spans="1:5">
      <c r="A22" s="2">
        <v>5021</v>
      </c>
      <c r="B22" s="2" t="s">
        <v>39</v>
      </c>
      <c r="C22" s="2" t="s">
        <v>18</v>
      </c>
      <c r="D22" s="2" t="s">
        <v>16</v>
      </c>
      <c r="E22" s="2"/>
    </row>
    <row r="23" spans="1:5">
      <c r="A23" s="2">
        <v>5022</v>
      </c>
      <c r="B23" s="2" t="s">
        <v>40</v>
      </c>
      <c r="C23" s="2" t="s">
        <v>18</v>
      </c>
      <c r="D23" s="2" t="s">
        <v>19</v>
      </c>
      <c r="E23" s="2"/>
    </row>
    <row r="24" spans="1:5">
      <c r="A24" s="2">
        <v>5023</v>
      </c>
      <c r="B24" s="2" t="s">
        <v>41</v>
      </c>
      <c r="C24" s="2" t="s">
        <v>27</v>
      </c>
      <c r="D24" s="2" t="s">
        <v>19</v>
      </c>
      <c r="E24" s="2"/>
    </row>
    <row r="25" spans="1:5">
      <c r="A25" s="2">
        <v>5024</v>
      </c>
      <c r="B25" s="2" t="s">
        <v>42</v>
      </c>
      <c r="C25" s="2" t="s">
        <v>18</v>
      </c>
      <c r="D25" s="2" t="s">
        <v>16</v>
      </c>
      <c r="E25" s="2"/>
    </row>
    <row r="26" spans="1:5">
      <c r="A26" s="2">
        <v>5025</v>
      </c>
      <c r="B26" s="2" t="s">
        <v>43</v>
      </c>
      <c r="C26" s="2" t="s">
        <v>32</v>
      </c>
      <c r="D26" s="2" t="s">
        <v>19</v>
      </c>
      <c r="E26" s="2"/>
    </row>
    <row r="27" spans="1:5">
      <c r="A27" s="2">
        <v>5026</v>
      </c>
      <c r="B27" s="2" t="s">
        <v>44</v>
      </c>
      <c r="C27" s="2" t="s">
        <v>18</v>
      </c>
      <c r="D27" s="2" t="s">
        <v>16</v>
      </c>
      <c r="E27" s="2"/>
    </row>
    <row r="28" spans="1:5">
      <c r="A28" s="2">
        <v>5027</v>
      </c>
      <c r="B28" s="2" t="s">
        <v>33</v>
      </c>
      <c r="C28" s="2" t="s">
        <v>32</v>
      </c>
      <c r="D28" s="2" t="s">
        <v>16</v>
      </c>
      <c r="E28" s="2"/>
    </row>
    <row r="29" spans="1:5">
      <c r="A29" s="2">
        <v>5028</v>
      </c>
      <c r="B29" s="2" t="s">
        <v>45</v>
      </c>
      <c r="C29" s="2" t="s">
        <v>18</v>
      </c>
      <c r="D29" s="2" t="s">
        <v>19</v>
      </c>
      <c r="E29" s="2"/>
    </row>
    <row r="30" spans="1:5">
      <c r="A30" s="2">
        <v>5029</v>
      </c>
      <c r="B30" s="2" t="s">
        <v>46</v>
      </c>
      <c r="C30" s="2" t="s">
        <v>15</v>
      </c>
      <c r="D30" s="2" t="s">
        <v>19</v>
      </c>
      <c r="E30" s="2"/>
    </row>
    <row r="31" spans="1:5">
      <c r="A31" s="2">
        <v>5030</v>
      </c>
      <c r="B31" s="2" t="s">
        <v>47</v>
      </c>
      <c r="C31" s="2" t="s">
        <v>18</v>
      </c>
      <c r="D31" s="2" t="s">
        <v>16</v>
      </c>
      <c r="E31" s="2"/>
    </row>
    <row r="32" spans="1:5">
      <c r="A32" s="2">
        <v>5031</v>
      </c>
      <c r="B32" s="2" t="s">
        <v>48</v>
      </c>
      <c r="C32" s="2" t="s">
        <v>32</v>
      </c>
      <c r="D32" s="2" t="s">
        <v>24</v>
      </c>
      <c r="E32" s="2"/>
    </row>
    <row r="33" spans="1:5">
      <c r="A33" s="2">
        <v>5032</v>
      </c>
      <c r="B33" s="2" t="s">
        <v>49</v>
      </c>
      <c r="C33" s="2" t="s">
        <v>27</v>
      </c>
      <c r="D33" s="2" t="s">
        <v>16</v>
      </c>
      <c r="E33" s="2"/>
    </row>
    <row r="34" spans="1:5">
      <c r="A34" s="2">
        <v>5033</v>
      </c>
      <c r="B34" s="2" t="s">
        <v>50</v>
      </c>
      <c r="C34" s="2" t="s">
        <v>27</v>
      </c>
      <c r="D34" s="2" t="s">
        <v>16</v>
      </c>
      <c r="E34" s="2"/>
    </row>
    <row r="35" spans="1:5">
      <c r="A35" s="2">
        <v>5034</v>
      </c>
      <c r="B35" s="2" t="s">
        <v>51</v>
      </c>
      <c r="C35" s="2" t="s">
        <v>27</v>
      </c>
      <c r="D35" s="2" t="s">
        <v>24</v>
      </c>
      <c r="E35" s="2"/>
    </row>
    <row r="36" spans="1:5">
      <c r="A36" s="2">
        <v>5035</v>
      </c>
      <c r="B36" s="2" t="s">
        <v>52</v>
      </c>
      <c r="C36" s="2" t="s">
        <v>15</v>
      </c>
      <c r="D36" s="2" t="s">
        <v>16</v>
      </c>
      <c r="E36" s="2"/>
    </row>
    <row r="37" spans="1:5">
      <c r="A37" s="2">
        <v>5036</v>
      </c>
      <c r="B37" s="2" t="s">
        <v>53</v>
      </c>
      <c r="C37" s="2" t="s">
        <v>18</v>
      </c>
      <c r="D37" s="2" t="s">
        <v>16</v>
      </c>
      <c r="E37" s="2"/>
    </row>
    <row r="38" spans="1:5">
      <c r="A38" s="2">
        <v>5037</v>
      </c>
      <c r="B38" s="2" t="s">
        <v>54</v>
      </c>
      <c r="C38" s="2" t="s">
        <v>18</v>
      </c>
      <c r="D38" s="2" t="s">
        <v>19</v>
      </c>
      <c r="E38" s="2"/>
    </row>
    <row r="39" spans="1:5">
      <c r="A39" s="2">
        <v>5038</v>
      </c>
      <c r="B39" s="2" t="s">
        <v>55</v>
      </c>
      <c r="C39" s="2" t="s">
        <v>15</v>
      </c>
      <c r="D39" s="2" t="s">
        <v>16</v>
      </c>
      <c r="E39" s="2"/>
    </row>
    <row r="40" spans="1:5">
      <c r="A40" s="2">
        <v>5039</v>
      </c>
      <c r="B40" s="2" t="s">
        <v>56</v>
      </c>
      <c r="C40" s="2" t="s">
        <v>15</v>
      </c>
      <c r="D40" s="2" t="s">
        <v>19</v>
      </c>
      <c r="E40" s="2"/>
    </row>
    <row r="41" spans="1:5">
      <c r="A41" s="2">
        <v>5040</v>
      </c>
      <c r="B41" s="2" t="s">
        <v>30</v>
      </c>
      <c r="C41" s="2" t="s">
        <v>18</v>
      </c>
      <c r="D41" s="2" t="s">
        <v>19</v>
      </c>
      <c r="E41" s="2"/>
    </row>
    <row r="42" spans="1:5">
      <c r="A42" s="2">
        <v>5041</v>
      </c>
      <c r="B42" s="2" t="s">
        <v>34</v>
      </c>
      <c r="C42" s="2" t="s">
        <v>15</v>
      </c>
      <c r="D42" s="2" t="s">
        <v>16</v>
      </c>
      <c r="E42" s="2"/>
    </row>
    <row r="43" spans="1:5">
      <c r="A43" s="2">
        <v>5042</v>
      </c>
      <c r="B43" s="2" t="s">
        <v>31</v>
      </c>
      <c r="C43" s="2" t="s">
        <v>18</v>
      </c>
      <c r="D43" s="2" t="s">
        <v>19</v>
      </c>
      <c r="E43" s="2"/>
    </row>
    <row r="44" spans="1:5">
      <c r="A44" s="2">
        <v>5043</v>
      </c>
      <c r="B44" s="2" t="s">
        <v>57</v>
      </c>
      <c r="C44" s="2" t="s">
        <v>18</v>
      </c>
      <c r="D44" s="2" t="s">
        <v>24</v>
      </c>
      <c r="E44" s="2"/>
    </row>
    <row r="45" spans="1:5">
      <c r="A45" s="2">
        <v>5044</v>
      </c>
      <c r="B45" s="2" t="s">
        <v>58</v>
      </c>
      <c r="C45" s="2" t="s">
        <v>18</v>
      </c>
      <c r="D45" s="2" t="s">
        <v>16</v>
      </c>
      <c r="E45" s="2"/>
    </row>
    <row r="46" spans="1:5">
      <c r="A46" s="2">
        <v>5045</v>
      </c>
      <c r="B46" s="2" t="s">
        <v>38</v>
      </c>
      <c r="C46" s="2" t="s">
        <v>27</v>
      </c>
      <c r="D46" s="2" t="s">
        <v>24</v>
      </c>
      <c r="E46" s="2"/>
    </row>
    <row r="47" spans="1:5">
      <c r="A47" s="2">
        <v>5046</v>
      </c>
      <c r="B47" s="2" t="s">
        <v>36</v>
      </c>
      <c r="C47" s="2" t="s">
        <v>32</v>
      </c>
      <c r="D47" s="2" t="s">
        <v>16</v>
      </c>
      <c r="E47" s="2"/>
    </row>
    <row r="48" spans="1:5">
      <c r="A48" s="2">
        <v>5047</v>
      </c>
      <c r="B48" s="2" t="s">
        <v>31</v>
      </c>
      <c r="C48" s="2" t="s">
        <v>18</v>
      </c>
      <c r="D48" s="2" t="s">
        <v>19</v>
      </c>
      <c r="E48" s="2"/>
    </row>
    <row r="49" spans="1:5">
      <c r="A49" s="2">
        <v>5048</v>
      </c>
      <c r="B49" s="2" t="s">
        <v>59</v>
      </c>
      <c r="C49" s="2" t="s">
        <v>15</v>
      </c>
      <c r="D49" s="2" t="s">
        <v>16</v>
      </c>
      <c r="E49" s="2"/>
    </row>
    <row r="50" spans="1:5">
      <c r="A50" s="2">
        <v>5049</v>
      </c>
      <c r="B50" s="2" t="s">
        <v>60</v>
      </c>
      <c r="C50" s="2" t="s">
        <v>18</v>
      </c>
      <c r="D50" s="2" t="s">
        <v>19</v>
      </c>
      <c r="E50" s="2"/>
    </row>
    <row r="51" spans="1:5">
      <c r="A51" s="2">
        <v>5050</v>
      </c>
      <c r="B51" s="2" t="s">
        <v>61</v>
      </c>
      <c r="C51" s="2" t="s">
        <v>18</v>
      </c>
      <c r="D51" s="2" t="s">
        <v>19</v>
      </c>
      <c r="E51" s="2"/>
    </row>
    <row r="52" spans="1:5">
      <c r="A52" s="2">
        <v>5051</v>
      </c>
      <c r="B52" s="2" t="s">
        <v>62</v>
      </c>
      <c r="C52" s="2" t="s">
        <v>15</v>
      </c>
      <c r="D52" s="2" t="s">
        <v>16</v>
      </c>
      <c r="E52" s="2"/>
    </row>
    <row r="53" spans="1:5">
      <c r="A53" s="2">
        <v>5052</v>
      </c>
      <c r="B53" s="2" t="s">
        <v>35</v>
      </c>
      <c r="C53" s="2" t="s">
        <v>32</v>
      </c>
      <c r="D53" s="2" t="s">
        <v>19</v>
      </c>
      <c r="E53" s="2"/>
    </row>
    <row r="54" spans="1:5">
      <c r="A54" s="2">
        <v>5053</v>
      </c>
      <c r="B54" s="2" t="s">
        <v>63</v>
      </c>
      <c r="C54" s="2" t="s">
        <v>32</v>
      </c>
      <c r="D54" s="2" t="s">
        <v>19</v>
      </c>
      <c r="E54" s="2"/>
    </row>
    <row r="55" spans="1:5">
      <c r="A55" s="2">
        <v>5054</v>
      </c>
      <c r="B55" s="2" t="s">
        <v>43</v>
      </c>
      <c r="C55" s="2" t="s">
        <v>18</v>
      </c>
      <c r="D55" s="2" t="s">
        <v>19</v>
      </c>
      <c r="E55" s="2"/>
    </row>
    <row r="56" spans="1:5">
      <c r="A56" s="2">
        <v>5055</v>
      </c>
      <c r="B56" s="2" t="s">
        <v>29</v>
      </c>
      <c r="C56" s="2" t="s">
        <v>27</v>
      </c>
      <c r="D56" s="2" t="s">
        <v>24</v>
      </c>
      <c r="E56" s="2"/>
    </row>
    <row r="57" spans="1:5">
      <c r="A57" s="2">
        <v>5056</v>
      </c>
      <c r="B57" s="2" t="s">
        <v>64</v>
      </c>
      <c r="C57" s="2" t="s">
        <v>15</v>
      </c>
      <c r="D57" s="2" t="s">
        <v>16</v>
      </c>
      <c r="E57" s="2"/>
    </row>
    <row r="58" spans="1:5">
      <c r="A58" s="2">
        <v>5057</v>
      </c>
      <c r="B58" s="2" t="s">
        <v>14</v>
      </c>
      <c r="C58" s="2" t="s">
        <v>15</v>
      </c>
      <c r="D58" s="2" t="s">
        <v>24</v>
      </c>
      <c r="E58" s="2"/>
    </row>
    <row r="59" spans="1:5">
      <c r="A59" s="2">
        <v>5058</v>
      </c>
      <c r="B59" s="2" t="s">
        <v>65</v>
      </c>
      <c r="C59" s="2" t="s">
        <v>15</v>
      </c>
      <c r="D59" s="2" t="s">
        <v>19</v>
      </c>
      <c r="E59" s="2"/>
    </row>
    <row r="60" spans="1:5">
      <c r="A60" s="2">
        <v>5059</v>
      </c>
      <c r="B60" s="2" t="s">
        <v>22</v>
      </c>
      <c r="C60" s="2" t="s">
        <v>32</v>
      </c>
      <c r="D60" s="2" t="s">
        <v>19</v>
      </c>
      <c r="E60" s="2"/>
    </row>
    <row r="61" spans="1:5">
      <c r="A61" s="2">
        <v>5060</v>
      </c>
      <c r="B61" s="2" t="s">
        <v>66</v>
      </c>
      <c r="C61" s="2" t="s">
        <v>27</v>
      </c>
      <c r="D61" s="2" t="s">
        <v>24</v>
      </c>
      <c r="E61" s="2"/>
    </row>
    <row r="62" spans="1:5">
      <c r="A62" s="2">
        <v>5061</v>
      </c>
      <c r="B62" s="2" t="s">
        <v>34</v>
      </c>
      <c r="C62" s="2" t="s">
        <v>32</v>
      </c>
      <c r="D62" s="2" t="s">
        <v>16</v>
      </c>
      <c r="E62" s="2"/>
    </row>
    <row r="63" spans="1:5">
      <c r="A63" s="2">
        <v>5062</v>
      </c>
      <c r="B63" s="2" t="s">
        <v>61</v>
      </c>
      <c r="C63" s="2" t="s">
        <v>15</v>
      </c>
      <c r="D63" s="2" t="s">
        <v>19</v>
      </c>
      <c r="E63" s="2"/>
    </row>
    <row r="64" spans="1:5">
      <c r="A64" s="2">
        <v>5063</v>
      </c>
      <c r="B64" s="2" t="s">
        <v>67</v>
      </c>
      <c r="C64" s="2" t="s">
        <v>32</v>
      </c>
      <c r="D64" s="2" t="s">
        <v>24</v>
      </c>
      <c r="E64" s="2"/>
    </row>
    <row r="65" spans="1:5">
      <c r="A65" s="2">
        <v>5064</v>
      </c>
      <c r="B65" s="2" t="s">
        <v>68</v>
      </c>
      <c r="C65" s="2" t="s">
        <v>32</v>
      </c>
      <c r="D65" s="2" t="s">
        <v>19</v>
      </c>
      <c r="E65" s="2"/>
    </row>
    <row r="66" spans="1:5">
      <c r="A66" s="2">
        <v>5065</v>
      </c>
      <c r="B66" s="2" t="s">
        <v>69</v>
      </c>
      <c r="C66" s="2" t="s">
        <v>15</v>
      </c>
      <c r="D66" s="2" t="s">
        <v>24</v>
      </c>
      <c r="E66" s="2"/>
    </row>
    <row r="67" spans="1:5">
      <c r="A67" s="2">
        <v>5066</v>
      </c>
      <c r="B67" s="2" t="s">
        <v>70</v>
      </c>
      <c r="C67" s="2" t="s">
        <v>27</v>
      </c>
      <c r="D67" s="2" t="s">
        <v>24</v>
      </c>
      <c r="E67" s="2"/>
    </row>
    <row r="68" spans="1:5">
      <c r="A68" s="2">
        <v>5067</v>
      </c>
      <c r="B68" s="2" t="s">
        <v>71</v>
      </c>
      <c r="C68" s="2" t="s">
        <v>18</v>
      </c>
      <c r="D68" s="2" t="s">
        <v>19</v>
      </c>
      <c r="E68" s="2"/>
    </row>
    <row r="69" spans="1:5">
      <c r="A69" s="2">
        <v>5068</v>
      </c>
      <c r="B69" s="2" t="s">
        <v>17</v>
      </c>
      <c r="C69" s="2" t="s">
        <v>15</v>
      </c>
      <c r="D69" s="2" t="s">
        <v>16</v>
      </c>
      <c r="E69" s="2"/>
    </row>
    <row r="70" spans="1:5">
      <c r="A70" s="2">
        <v>5069</v>
      </c>
      <c r="B70" s="2" t="s">
        <v>72</v>
      </c>
      <c r="C70" s="2" t="s">
        <v>27</v>
      </c>
      <c r="D70" s="2" t="s">
        <v>19</v>
      </c>
      <c r="E70" s="2"/>
    </row>
    <row r="71" spans="1:5">
      <c r="A71" s="2">
        <v>5070</v>
      </c>
      <c r="B71" s="2" t="s">
        <v>73</v>
      </c>
      <c r="C71" s="2" t="s">
        <v>18</v>
      </c>
      <c r="D71" s="2" t="s">
        <v>19</v>
      </c>
      <c r="E71" s="2"/>
    </row>
    <row r="72" spans="1:5">
      <c r="A72" s="2">
        <v>5071</v>
      </c>
      <c r="B72" s="2" t="s">
        <v>74</v>
      </c>
      <c r="C72" s="2" t="s">
        <v>18</v>
      </c>
      <c r="D72" s="2" t="s">
        <v>19</v>
      </c>
      <c r="E72" s="2"/>
    </row>
    <row r="73" spans="1:5">
      <c r="A73" s="2">
        <v>5072</v>
      </c>
      <c r="B73" s="2" t="s">
        <v>75</v>
      </c>
      <c r="C73" s="2" t="s">
        <v>18</v>
      </c>
      <c r="D73" s="2" t="s">
        <v>24</v>
      </c>
      <c r="E73" s="2"/>
    </row>
    <row r="74" spans="1:5">
      <c r="A74" s="2">
        <v>5073</v>
      </c>
      <c r="B74" s="2" t="s">
        <v>76</v>
      </c>
      <c r="C74" s="2" t="s">
        <v>15</v>
      </c>
      <c r="D74" s="2" t="s">
        <v>16</v>
      </c>
      <c r="E74" s="2"/>
    </row>
    <row r="75" spans="1:5">
      <c r="A75" s="2">
        <v>5074</v>
      </c>
      <c r="B75" s="2" t="s">
        <v>29</v>
      </c>
      <c r="C75" s="2" t="s">
        <v>27</v>
      </c>
      <c r="D75" s="2" t="s">
        <v>24</v>
      </c>
      <c r="E75" s="2"/>
    </row>
    <row r="76" spans="1:5">
      <c r="A76" s="2">
        <v>5075</v>
      </c>
      <c r="B76" s="2" t="s">
        <v>42</v>
      </c>
      <c r="C76" s="2" t="s">
        <v>18</v>
      </c>
      <c r="D76" s="2" t="s">
        <v>24</v>
      </c>
      <c r="E76" s="2"/>
    </row>
    <row r="77" spans="1:5">
      <c r="A77" s="2">
        <v>5076</v>
      </c>
      <c r="B77" s="2" t="s">
        <v>66</v>
      </c>
      <c r="C77" s="2" t="s">
        <v>27</v>
      </c>
      <c r="D77" s="2" t="s">
        <v>24</v>
      </c>
      <c r="E77" s="2"/>
    </row>
    <row r="78" spans="1:5">
      <c r="A78" s="2">
        <v>5077</v>
      </c>
      <c r="B78" s="2" t="s">
        <v>51</v>
      </c>
      <c r="C78" s="2" t="s">
        <v>15</v>
      </c>
      <c r="D78" s="2" t="s">
        <v>24</v>
      </c>
      <c r="E78" s="2"/>
    </row>
    <row r="79" spans="1:5">
      <c r="A79" s="2">
        <v>5078</v>
      </c>
      <c r="B79" s="2" t="s">
        <v>75</v>
      </c>
      <c r="C79" s="2" t="s">
        <v>15</v>
      </c>
      <c r="D79" s="2" t="s">
        <v>16</v>
      </c>
      <c r="E79" s="2"/>
    </row>
    <row r="80" spans="1:5">
      <c r="A80" s="2">
        <v>5079</v>
      </c>
      <c r="B80" s="2" t="s">
        <v>35</v>
      </c>
      <c r="C80" s="2" t="s">
        <v>18</v>
      </c>
      <c r="D80" s="2" t="s">
        <v>24</v>
      </c>
      <c r="E80" s="2"/>
    </row>
    <row r="81" spans="1:5">
      <c r="A81" s="2">
        <v>5080</v>
      </c>
      <c r="B81" s="2" t="s">
        <v>76</v>
      </c>
      <c r="C81" s="2" t="s">
        <v>27</v>
      </c>
      <c r="D81" s="2" t="s">
        <v>24</v>
      </c>
      <c r="E81" s="2"/>
    </row>
    <row r="82" spans="1:5">
      <c r="A82" s="2">
        <v>5081</v>
      </c>
      <c r="B82" s="2" t="s">
        <v>52</v>
      </c>
      <c r="C82" s="2" t="s">
        <v>27</v>
      </c>
      <c r="D82" s="2" t="s">
        <v>16</v>
      </c>
      <c r="E82" s="2"/>
    </row>
    <row r="83" spans="1:5">
      <c r="A83" s="2">
        <v>5082</v>
      </c>
      <c r="B83" s="2" t="s">
        <v>77</v>
      </c>
      <c r="C83" s="2" t="s">
        <v>27</v>
      </c>
      <c r="D83" s="2" t="s">
        <v>16</v>
      </c>
      <c r="E83" s="2"/>
    </row>
    <row r="84" spans="1:5">
      <c r="A84" s="2">
        <v>5083</v>
      </c>
      <c r="B84" s="2" t="s">
        <v>47</v>
      </c>
      <c r="C84" s="2" t="s">
        <v>27</v>
      </c>
      <c r="D84" s="2" t="s">
        <v>19</v>
      </c>
      <c r="E84" s="2"/>
    </row>
    <row r="85" spans="1:5">
      <c r="A85" s="2">
        <v>5084</v>
      </c>
      <c r="B85" s="2" t="s">
        <v>47</v>
      </c>
      <c r="C85" s="2" t="s">
        <v>27</v>
      </c>
      <c r="D85" s="2" t="s">
        <v>24</v>
      </c>
      <c r="E85" s="2"/>
    </row>
    <row r="86" spans="1:5">
      <c r="A86" s="2">
        <v>5085</v>
      </c>
      <c r="B86" s="2" t="s">
        <v>78</v>
      </c>
      <c r="C86" s="2" t="s">
        <v>27</v>
      </c>
      <c r="D86" s="2" t="s">
        <v>19</v>
      </c>
      <c r="E86" s="2"/>
    </row>
    <row r="87" spans="1:5">
      <c r="A87" s="2">
        <v>5086</v>
      </c>
      <c r="B87" s="2" t="s">
        <v>79</v>
      </c>
      <c r="C87" s="2" t="s">
        <v>32</v>
      </c>
      <c r="D87" s="2" t="s">
        <v>24</v>
      </c>
      <c r="E87" s="2"/>
    </row>
    <row r="88" spans="1:5">
      <c r="A88" s="2">
        <v>5087</v>
      </c>
      <c r="B88" s="2" t="s">
        <v>50</v>
      </c>
      <c r="C88" s="2" t="s">
        <v>32</v>
      </c>
      <c r="D88" s="2" t="s">
        <v>24</v>
      </c>
      <c r="E88" s="2"/>
    </row>
    <row r="89" spans="1:5">
      <c r="A89" s="2">
        <v>5088</v>
      </c>
      <c r="B89" s="2" t="s">
        <v>80</v>
      </c>
      <c r="C89" s="2" t="s">
        <v>27</v>
      </c>
      <c r="D89" s="2" t="s">
        <v>19</v>
      </c>
      <c r="E89" s="2"/>
    </row>
    <row r="90" spans="1:5">
      <c r="A90" s="2">
        <v>5089</v>
      </c>
      <c r="B90" s="2" t="s">
        <v>79</v>
      </c>
      <c r="C90" s="2" t="s">
        <v>18</v>
      </c>
      <c r="D90" s="2" t="s">
        <v>16</v>
      </c>
      <c r="E90" s="2"/>
    </row>
    <row r="91" spans="1:5">
      <c r="A91" s="2">
        <v>5090</v>
      </c>
      <c r="B91" s="2" t="s">
        <v>43</v>
      </c>
      <c r="C91" s="2" t="s">
        <v>15</v>
      </c>
      <c r="D91" s="2" t="s">
        <v>19</v>
      </c>
      <c r="E91" s="2"/>
    </row>
    <row r="92" spans="1:5">
      <c r="A92" s="2">
        <v>5091</v>
      </c>
      <c r="B92" s="2" t="s">
        <v>47</v>
      </c>
      <c r="C92" s="2" t="s">
        <v>15</v>
      </c>
      <c r="D92" s="2" t="s">
        <v>24</v>
      </c>
      <c r="E92" s="2"/>
    </row>
    <row r="93" spans="1:5">
      <c r="A93" s="2">
        <v>5092</v>
      </c>
      <c r="B93" s="2" t="s">
        <v>81</v>
      </c>
      <c r="C93" s="2" t="s">
        <v>32</v>
      </c>
      <c r="D93" s="2" t="s">
        <v>19</v>
      </c>
      <c r="E93" s="2"/>
    </row>
    <row r="94" spans="1:5">
      <c r="A94" s="2">
        <v>5093</v>
      </c>
      <c r="B94" s="2" t="s">
        <v>82</v>
      </c>
      <c r="C94" s="2" t="s">
        <v>27</v>
      </c>
      <c r="D94" s="2" t="s">
        <v>19</v>
      </c>
      <c r="E94" s="2"/>
    </row>
    <row r="95" spans="1:5">
      <c r="A95" s="2">
        <v>5094</v>
      </c>
      <c r="B95" s="2" t="s">
        <v>37</v>
      </c>
      <c r="C95" s="2" t="s">
        <v>18</v>
      </c>
      <c r="D95" s="2" t="s">
        <v>16</v>
      </c>
      <c r="E95" s="2"/>
    </row>
    <row r="96" spans="1:5">
      <c r="A96" s="2">
        <v>5095</v>
      </c>
      <c r="B96" s="2" t="s">
        <v>59</v>
      </c>
      <c r="C96" s="2" t="s">
        <v>32</v>
      </c>
      <c r="D96" s="2" t="s">
        <v>16</v>
      </c>
      <c r="E96" s="2"/>
    </row>
    <row r="97" spans="1:5">
      <c r="A97" s="2">
        <v>5096</v>
      </c>
      <c r="B97" s="2" t="s">
        <v>83</v>
      </c>
      <c r="C97" s="2" t="s">
        <v>18</v>
      </c>
      <c r="D97" s="2" t="s">
        <v>19</v>
      </c>
      <c r="E97" s="2"/>
    </row>
    <row r="98" spans="1:5">
      <c r="A98" s="2">
        <v>5097</v>
      </c>
      <c r="B98" s="2" t="s">
        <v>69</v>
      </c>
      <c r="C98" s="2" t="s">
        <v>15</v>
      </c>
      <c r="D98" s="2" t="s">
        <v>19</v>
      </c>
      <c r="E98" s="2"/>
    </row>
    <row r="99" spans="1:5">
      <c r="A99" s="2">
        <v>5098</v>
      </c>
      <c r="B99" s="2" t="s">
        <v>65</v>
      </c>
      <c r="C99" s="2" t="s">
        <v>32</v>
      </c>
      <c r="D99" s="2" t="s">
        <v>16</v>
      </c>
      <c r="E99" s="2"/>
    </row>
    <row r="100" spans="1:5">
      <c r="A100" s="2">
        <v>5099</v>
      </c>
      <c r="B100" s="2" t="s">
        <v>38</v>
      </c>
      <c r="C100" s="2" t="s">
        <v>27</v>
      </c>
      <c r="D100" s="2" t="s">
        <v>19</v>
      </c>
      <c r="E100" s="2"/>
    </row>
    <row r="101" spans="1:5">
      <c r="A101" s="2">
        <v>5100</v>
      </c>
      <c r="B101" s="2" t="s">
        <v>20</v>
      </c>
      <c r="C101" s="2" t="s">
        <v>32</v>
      </c>
      <c r="D101" s="2" t="s">
        <v>19</v>
      </c>
      <c r="E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Sheet2</vt:lpstr>
      <vt:lpstr>Sheet4</vt:lpstr>
      <vt:lpstr>Sheet6</vt:lpstr>
      <vt:lpstr>orders_dataset</vt:lpstr>
      <vt:lpstr>customer_dataset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2026-06-18T16:19:53Z</dcterms:created>
  <dcterms:modified xsi:type="dcterms:W3CDTF">2026-06-19T12:34:46Z</dcterms:modified>
</cp:coreProperties>
</file>